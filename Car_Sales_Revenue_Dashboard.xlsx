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 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<sst xmlns="http://schemas.openxmlformats.org/spreadsheetml/2006/main" count="655" uniqueCount="182">
  <si>
    <t xml:space="preserve">Car Sales &amp; Revenue Analysis Dashboard</t>
  </si>
  <si>
    <t xml:space="preserve">Period: Jan 2026 - Jul 2026  |  Data source: Sales Data sheet</t>
  </si>
  <si>
    <t xml:space="preserve">Select Region:</t>
  </si>
  <si>
    <t xml:space="preserve">All</t>
  </si>
  <si>
    <t xml:space="preserve">Total Revenue (INR)</t>
  </si>
  <si>
    <t xml:space="preserve">Total Units Sold</t>
  </si>
  <si>
    <t xml:space="preserve">Avg Order Value (INR)</t>
  </si>
  <si>
    <t xml:space="preserve">Top Brand</t>
  </si>
  <si>
    <t xml:space="preserve">Sale ID</t>
  </si>
  <si>
    <t xml:space="preserve">Date</t>
  </si>
  <si>
    <t xml:space="preserve">Brand</t>
  </si>
  <si>
    <t xml:space="preserve">Model</t>
  </si>
  <si>
    <t xml:space="preserve">Fuel Type</t>
  </si>
  <si>
    <t xml:space="preserve">Region</t>
  </si>
  <si>
    <t xml:space="preserve">Dealer</t>
  </si>
  <si>
    <t xml:space="preserve">Units Sold</t>
  </si>
  <si>
    <t xml:space="preserve">Unit Price (INR)</t>
  </si>
  <si>
    <t xml:space="preserve">Discount (%)</t>
  </si>
  <si>
    <t xml:space="preserve">Revenue (INR)</t>
  </si>
  <si>
    <t xml:space="preserve">S0001</t>
  </si>
  <si>
    <t xml:space="preserve">Tata</t>
  </si>
  <si>
    <t xml:space="preserve">Punch</t>
  </si>
  <si>
    <t xml:space="preserve">Electric</t>
  </si>
  <si>
    <t xml:space="preserve">North</t>
  </si>
  <si>
    <t xml:space="preserve">Prime Motors</t>
  </si>
  <si>
    <t xml:space="preserve">S0002</t>
  </si>
  <si>
    <t xml:space="preserve">Tiago</t>
  </si>
  <si>
    <t xml:space="preserve">Petrol</t>
  </si>
  <si>
    <t xml:space="preserve">Central</t>
  </si>
  <si>
    <t xml:space="preserve">City Auto Hub</t>
  </si>
  <si>
    <t xml:space="preserve">S0003</t>
  </si>
  <si>
    <t xml:space="preserve">Mahindra</t>
  </si>
  <si>
    <t xml:space="preserve">XUV700</t>
  </si>
  <si>
    <t xml:space="preserve">Diesel</t>
  </si>
  <si>
    <t xml:space="preserve">Elite Auto</t>
  </si>
  <si>
    <t xml:space="preserve">S0004</t>
  </si>
  <si>
    <t xml:space="preserve">Maruti Suzuki</t>
  </si>
  <si>
    <t xml:space="preserve">Baleno</t>
  </si>
  <si>
    <t xml:space="preserve">S0005</t>
  </si>
  <si>
    <t xml:space="preserve">WagonR</t>
  </si>
  <si>
    <t xml:space="preserve">East</t>
  </si>
  <si>
    <t xml:space="preserve">Speedway Motors</t>
  </si>
  <si>
    <t xml:space="preserve">S0006</t>
  </si>
  <si>
    <t xml:space="preserve">Kia</t>
  </si>
  <si>
    <t xml:space="preserve">Carens</t>
  </si>
  <si>
    <t xml:space="preserve">S0007</t>
  </si>
  <si>
    <t xml:space="preserve">S0008</t>
  </si>
  <si>
    <t xml:space="preserve">Toyota</t>
  </si>
  <si>
    <t xml:space="preserve">Urban Cruiser</t>
  </si>
  <si>
    <t xml:space="preserve">CNG</t>
  </si>
  <si>
    <t xml:space="preserve">West</t>
  </si>
  <si>
    <t xml:space="preserve">S0009</t>
  </si>
  <si>
    <t xml:space="preserve">South</t>
  </si>
  <si>
    <t xml:space="preserve">S0010</t>
  </si>
  <si>
    <t xml:space="preserve">Thar</t>
  </si>
  <si>
    <t xml:space="preserve">S0011</t>
  </si>
  <si>
    <t xml:space="preserve">Scorpio</t>
  </si>
  <si>
    <t xml:space="preserve">S0012</t>
  </si>
  <si>
    <t xml:space="preserve">Metro Cars</t>
  </si>
  <si>
    <t xml:space="preserve">S0013</t>
  </si>
  <si>
    <t xml:space="preserve">Honda</t>
  </si>
  <si>
    <t xml:space="preserve">Amaze</t>
  </si>
  <si>
    <t xml:space="preserve">S0014</t>
  </si>
  <si>
    <t xml:space="preserve">Glanza</t>
  </si>
  <si>
    <t xml:space="preserve">S0015</t>
  </si>
  <si>
    <t xml:space="preserve">S0016</t>
  </si>
  <si>
    <t xml:space="preserve">S0017</t>
  </si>
  <si>
    <t xml:space="preserve">Hyundai</t>
  </si>
  <si>
    <t xml:space="preserve">Verna</t>
  </si>
  <si>
    <t xml:space="preserve">S0018</t>
  </si>
  <si>
    <t xml:space="preserve">XUV300</t>
  </si>
  <si>
    <t xml:space="preserve">S0019</t>
  </si>
  <si>
    <t xml:space="preserve">Creta</t>
  </si>
  <si>
    <t xml:space="preserve">S0020</t>
  </si>
  <si>
    <t xml:space="preserve">S0021</t>
  </si>
  <si>
    <t xml:space="preserve">S0022</t>
  </si>
  <si>
    <t xml:space="preserve">Elevate</t>
  </si>
  <si>
    <t xml:space="preserve">S0023</t>
  </si>
  <si>
    <t xml:space="preserve">S0024</t>
  </si>
  <si>
    <t xml:space="preserve">Alto</t>
  </si>
  <si>
    <t xml:space="preserve">S0025</t>
  </si>
  <si>
    <t xml:space="preserve">S0026</t>
  </si>
  <si>
    <t xml:space="preserve">S0027</t>
  </si>
  <si>
    <t xml:space="preserve">S0028</t>
  </si>
  <si>
    <t xml:space="preserve">S0029</t>
  </si>
  <si>
    <t xml:space="preserve">S0030</t>
  </si>
  <si>
    <t xml:space="preserve">Innova</t>
  </si>
  <si>
    <t xml:space="preserve">S0031</t>
  </si>
  <si>
    <t xml:space="preserve">City</t>
  </si>
  <si>
    <t xml:space="preserve">S0032</t>
  </si>
  <si>
    <t xml:space="preserve">S0033</t>
  </si>
  <si>
    <t xml:space="preserve">Swift</t>
  </si>
  <si>
    <t xml:space="preserve">S0034</t>
  </si>
  <si>
    <t xml:space="preserve">S0035</t>
  </si>
  <si>
    <t xml:space="preserve">Venue</t>
  </si>
  <si>
    <t xml:space="preserve">S0036</t>
  </si>
  <si>
    <t xml:space="preserve">S0037</t>
  </si>
  <si>
    <t xml:space="preserve">S0038</t>
  </si>
  <si>
    <t xml:space="preserve">S0039</t>
  </si>
  <si>
    <t xml:space="preserve">S0040</t>
  </si>
  <si>
    <t xml:space="preserve">Sonet</t>
  </si>
  <si>
    <t xml:space="preserve">S0041</t>
  </si>
  <si>
    <t xml:space="preserve">S0042</t>
  </si>
  <si>
    <t xml:space="preserve">Exter</t>
  </si>
  <si>
    <t xml:space="preserve">S0043</t>
  </si>
  <si>
    <t xml:space="preserve">S0044</t>
  </si>
  <si>
    <t xml:space="preserve">S0045</t>
  </si>
  <si>
    <t xml:space="preserve">S0046</t>
  </si>
  <si>
    <t xml:space="preserve">S0047</t>
  </si>
  <si>
    <t xml:space="preserve">Nexon</t>
  </si>
  <si>
    <t xml:space="preserve">S0048</t>
  </si>
  <si>
    <t xml:space="preserve">Brezza</t>
  </si>
  <si>
    <t xml:space="preserve">S0049</t>
  </si>
  <si>
    <t xml:space="preserve">S0050</t>
  </si>
  <si>
    <t xml:space="preserve">S0051</t>
  </si>
  <si>
    <t xml:space="preserve">S0052</t>
  </si>
  <si>
    <t xml:space="preserve">S0053</t>
  </si>
  <si>
    <t xml:space="preserve">S0054</t>
  </si>
  <si>
    <t xml:space="preserve">Fortuner</t>
  </si>
  <si>
    <t xml:space="preserve">S0055</t>
  </si>
  <si>
    <t xml:space="preserve">S0056</t>
  </si>
  <si>
    <t xml:space="preserve">Bolero</t>
  </si>
  <si>
    <t xml:space="preserve">S0057</t>
  </si>
  <si>
    <t xml:space="preserve">Seltos</t>
  </si>
  <si>
    <t xml:space="preserve">S0058</t>
  </si>
  <si>
    <t xml:space="preserve">S0059</t>
  </si>
  <si>
    <t xml:space="preserve">S0060</t>
  </si>
  <si>
    <t xml:space="preserve">S0061</t>
  </si>
  <si>
    <t xml:space="preserve">S0062</t>
  </si>
  <si>
    <t xml:space="preserve">S0063</t>
  </si>
  <si>
    <t xml:space="preserve">S0064</t>
  </si>
  <si>
    <t xml:space="preserve">Harrier</t>
  </si>
  <si>
    <t xml:space="preserve">S0065</t>
  </si>
  <si>
    <t xml:space="preserve">S0066</t>
  </si>
  <si>
    <t xml:space="preserve">S0067</t>
  </si>
  <si>
    <t xml:space="preserve">S0068</t>
  </si>
  <si>
    <t xml:space="preserve">S0069</t>
  </si>
  <si>
    <t xml:space="preserve">S0070</t>
  </si>
  <si>
    <t xml:space="preserve">S0071</t>
  </si>
  <si>
    <t xml:space="preserve">Altroz</t>
  </si>
  <si>
    <t xml:space="preserve">S0072</t>
  </si>
  <si>
    <t xml:space="preserve">S0073</t>
  </si>
  <si>
    <t xml:space="preserve">S0074</t>
  </si>
  <si>
    <t xml:space="preserve">S0075</t>
  </si>
  <si>
    <t xml:space="preserve">S0076</t>
  </si>
  <si>
    <t xml:space="preserve">S0077</t>
  </si>
  <si>
    <t xml:space="preserve">S0078</t>
  </si>
  <si>
    <t xml:space="preserve">S0079</t>
  </si>
  <si>
    <t xml:space="preserve">S0080</t>
  </si>
  <si>
    <t xml:space="preserve">S0081</t>
  </si>
  <si>
    <t xml:space="preserve">S0082</t>
  </si>
  <si>
    <t xml:space="preserve">i20</t>
  </si>
  <si>
    <t xml:space="preserve">S0083</t>
  </si>
  <si>
    <t xml:space="preserve">S0084</t>
  </si>
  <si>
    <t xml:space="preserve">S0085</t>
  </si>
  <si>
    <t xml:space="preserve">S0086</t>
  </si>
  <si>
    <t xml:space="preserve">S0087</t>
  </si>
  <si>
    <t xml:space="preserve">S0088</t>
  </si>
  <si>
    <t xml:space="preserve">S0089</t>
  </si>
  <si>
    <t xml:space="preserve">S0090</t>
  </si>
  <si>
    <t xml:space="preserve">S0091</t>
  </si>
  <si>
    <t xml:space="preserve">S0092</t>
  </si>
  <si>
    <t xml:space="preserve">S0093</t>
  </si>
  <si>
    <t xml:space="preserve">S0094</t>
  </si>
  <si>
    <t xml:space="preserve">S0095</t>
  </si>
  <si>
    <t xml:space="preserve">S0096</t>
  </si>
  <si>
    <t xml:space="preserve">S0097</t>
  </si>
  <si>
    <t xml:space="preserve">S0098</t>
  </si>
  <si>
    <t xml:space="preserve">S0099</t>
  </si>
  <si>
    <t xml:space="preserve">S0100</t>
  </si>
  <si>
    <t xml:space="preserve">Monthly Revenue Trend</t>
  </si>
  <si>
    <t xml:space="preserve">Revenue by Brand</t>
  </si>
  <si>
    <t xml:space="preserve">Revenue by Region</t>
  </si>
  <si>
    <t xml:space="preserve">Revenue by Fuel Type</t>
  </si>
  <si>
    <t xml:space="preserve">Month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</si>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</sst>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dd\-m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1F4E78"/>
      </patternFill>
    </fill>
    <fill>
      <patternFill patternType="solid">
        <fgColor rgb="FFEF6C00"/>
        <bgColor rgb="FFFF9900"/>
      </patternFill>
    </fill>
    <fill>
      <patternFill patternType="solid">
        <fgColor rgb="FF6A1B9A"/>
        <bgColor rgb="FF80008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7B7B7"/>
      <rgbColor rgb="FF878787"/>
      <rgbColor rgb="FF9999FF"/>
      <rgbColor rgb="FFBE4B48"/>
      <rgbColor rgb="FFFFFFCC"/>
      <rgbColor rgb="FFD9E1F2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EF6C00"/>
      <rgbColor rgb="FF8064A2"/>
      <rgbColor rgb="FF969696"/>
      <rgbColor rgb="FF003366"/>
      <rgbColor rgb="FF2E7D32"/>
      <rgbColor rgb="FF003300"/>
      <rgbColor rgb="FF333300"/>
      <rgbColor rgb="FF993300"/>
      <rgbColor rgb="FFC0504D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Summary!$B$5:$B$11</c:f>
              <c:strCache>
                <c:ptCount val="7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</c:strCache>
            </c:strRef>
          </c:cat>
          <c:val>
            <c:numRef>
              <c:f>Summary!$C$5:$C$11</c:f>
              <c:numCache>
                <c:formatCode>#,##0</c:formatCode>
                <c:ptCount val="7"/>
                <c:pt idx="0">
                  <c:v>102806500</c:v>
                </c:pt>
                <c:pt idx="1">
                  <c:v>110533000</c:v>
                </c:pt>
                <c:pt idx="2">
                  <c:v>105024000</c:v>
                </c:pt>
                <c:pt idx="3">
                  <c:v>157046000</c:v>
                </c:pt>
                <c:pt idx="4">
                  <c:v>137527500</c:v>
                </c:pt>
                <c:pt idx="5">
                  <c:v>19984000</c:v>
                </c:pt>
                <c:pt idx="6">
                  <c:v>95031000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7346"/>
        <c:axId val="45639306"/>
      </c:lineChart>
      <c:catAx>
        <c:axId val="5773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39306"/>
        <c:crosses val="autoZero"/>
        <c:auto val="1"/>
        <c:lblAlgn val="ctr"/>
        <c:lblOffset val="100"/>
        <c:noMultiLvlLbl val="0"/>
      </c:catAx>
      <c:valAx>
        <c:axId val="45639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Summary!H4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Summary!$F$5:$F$11</c:f>
              <c:strCache>
                <c:ptCount val="7"/>
                <c:pt idx="0">
                  <c:v>Honda</c:v>
                </c:pt>
                <c:pt idx="1">
                  <c:v>Hyundai</c:v>
                </c:pt>
                <c:pt idx="2">
                  <c:v>Kia</c:v>
                </c:pt>
                <c:pt idx="3">
                  <c:v>Mahindra</c:v>
                </c:pt>
                <c:pt idx="4">
                  <c:v>Maruti Suzuki</c:v>
                </c:pt>
                <c:pt idx="5">
                  <c:v>Tata</c:v>
                </c:pt>
                <c:pt idx="6">
                  <c:v>Toyota</c:v>
                </c:pt>
              </c:strCache>
            </c:strRef>
          </c:cat>
          <c:val>
            <c:numRef>
              <c:f>Summary!$H$5:$H$11</c:f>
              <c:numCache>
                <c:formatCode>#,##0</c:formatCode>
                <c:ptCount val="7"/>
                <c:pt idx="0">
                  <c:v>83740000</c:v>
                </c:pt>
                <c:pt idx="1">
                  <c:v>99704000</c:v>
                </c:pt>
                <c:pt idx="2">
                  <c:v>101018500</c:v>
                </c:pt>
                <c:pt idx="3">
                  <c:v>136538500</c:v>
                </c:pt>
                <c:pt idx="4">
                  <c:v>101079000</c:v>
                </c:pt>
                <c:pt idx="5">
                  <c:v>79939000</c:v>
                </c:pt>
                <c:pt idx="6">
                  <c:v>125933000</c:v>
                </c:pt>
              </c:numCache>
            </c:numRef>
          </c:val>
        </c:ser>
        <c:gapWidth val="150"/>
        <c:overlap val="0"/>
        <c:axId val="650736"/>
        <c:axId val="59049252"/>
      </c:barChart>
      <c:catAx>
        <c:axId val="6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49252"/>
        <c:crosses val="autoZero"/>
        <c:auto val="1"/>
        <c:lblAlgn val="ctr"/>
        <c:lblOffset val="100"/>
        <c:noMultiLvlLbl val="0"/>
      </c:catAx>
      <c:valAx>
        <c:axId val="59049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7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Summary!K4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Summary!$J$5:$J$9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Summary!$K$5:$K$9</c:f>
              <c:numCache>
                <c:formatCode>#,##0</c:formatCode>
                <c:ptCount val="5"/>
                <c:pt idx="0">
                  <c:v>172706500</c:v>
                </c:pt>
                <c:pt idx="1">
                  <c:v>126975500</c:v>
                </c:pt>
                <c:pt idx="2">
                  <c:v>154454500</c:v>
                </c:pt>
                <c:pt idx="3">
                  <c:v>119157000</c:v>
                </c:pt>
                <c:pt idx="4">
                  <c:v>154658500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Fuel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Summary!N4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Summary!$M$5:$M$8</c:f>
              <c:strCache>
                <c:ptCount val="4"/>
                <c:pt idx="0">
                  <c:v>CNG</c:v>
                </c:pt>
                <c:pt idx="1">
                  <c:v>Diesel</c:v>
                </c:pt>
                <c:pt idx="2">
                  <c:v>Electric</c:v>
                </c:pt>
                <c:pt idx="3">
                  <c:v>Petrol</c:v>
                </c:pt>
              </c:strCache>
            </c:strRef>
          </c:cat>
          <c:val>
            <c:numRef>
              <c:f>Summary!$N$5:$N$8</c:f>
              <c:numCache>
                <c:formatCode>#,##0</c:formatCode>
                <c:ptCount val="4"/>
                <c:pt idx="0">
                  <c:v>196160500</c:v>
                </c:pt>
                <c:pt idx="1">
                  <c:v>223107000</c:v>
                </c:pt>
                <c:pt idx="2">
                  <c:v>143313000</c:v>
                </c:pt>
                <c:pt idx="3">
                  <c:v>165371500</c:v>
                </c:pt>
              </c:numCache>
            </c:numRef>
          </c:val>
        </c:ser>
        <c:gapWidth val="150"/>
        <c:overlap val="0"/>
        <c:axId val="36513417"/>
        <c:axId val="78564290"/>
      </c:barChart>
      <c:catAx>
        <c:axId val="365134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64290"/>
        <c:crosses val="autoZero"/>
        <c:auto val="1"/>
        <c:lblAlgn val="ctr"/>
        <c:lblOffset val="100"/>
        <c:noMultiLvlLbl val="0"/>
      </c:catAx>
      <c:valAx>
        <c:axId val="78564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134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100800</xdr:rowOff>
    </xdr:from>
    <xdr:to>
      <xdr:col>9</xdr:col>
      <xdr:colOff>400320</xdr:colOff>
      <xdr:row>26</xdr:row>
      <xdr:rowOff>123120</xdr:rowOff>
    </xdr:to>
    <xdr:graphicFrame>
      <xdr:nvGraphicFramePr>
        <xdr:cNvPr id="0" name="Chart 1"/>
        <xdr:cNvGraphicFramePr/>
      </xdr:nvGraphicFramePr>
      <xdr:xfrm>
        <a:off x="611640" y="2286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100800</xdr:rowOff>
    </xdr:from>
    <xdr:to>
      <xdr:col>15</xdr:col>
      <xdr:colOff>516960</xdr:colOff>
      <xdr:row>26</xdr:row>
      <xdr:rowOff>123120</xdr:rowOff>
    </xdr:to>
    <xdr:graphicFrame>
      <xdr:nvGraphicFramePr>
        <xdr:cNvPr id="1" name="Chart 2"/>
        <xdr:cNvGraphicFramePr/>
      </xdr:nvGraphicFramePr>
      <xdr:xfrm>
        <a:off x="4631040" y="2286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101160</xdr:rowOff>
    </xdr:from>
    <xdr:to>
      <xdr:col>9</xdr:col>
      <xdr:colOff>400320</xdr:colOff>
      <xdr:row>43</xdr:row>
      <xdr:rowOff>123120</xdr:rowOff>
    </xdr:to>
    <xdr:graphicFrame>
      <xdr:nvGraphicFramePr>
        <xdr:cNvPr id="2" name="Chart 3"/>
        <xdr:cNvGraphicFramePr/>
      </xdr:nvGraphicFramePr>
      <xdr:xfrm>
        <a:off x="611640" y="5524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101160</xdr:rowOff>
    </xdr:from>
    <xdr:to>
      <xdr:col>15</xdr:col>
      <xdr:colOff>516960</xdr:colOff>
      <xdr:row>43</xdr:row>
      <xdr:rowOff>123120</xdr:rowOff>
    </xdr:to>
    <xdr:graphicFrame>
      <xdr:nvGraphicFramePr>
        <xdr:cNvPr id="3" name="Chart 4"/>
        <xdr:cNvGraphicFramePr/>
      </xdr:nvGraphicFramePr>
      <xdr:xfrm>
        <a:off x="4631040" y="5524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2" style="0" width="9.51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5" t="s">
        <v>4</v>
      </c>
      <c r="C7" s="5"/>
      <c r="D7" s="5"/>
      <c r="E7" s="6" t="s">
        <v>5</v>
      </c>
      <c r="F7" s="6"/>
      <c r="G7" s="6"/>
      <c r="H7" s="7" t="s">
        <v>6</v>
      </c>
      <c r="I7" s="7"/>
      <c r="J7" s="7"/>
      <c r="K7" s="8" t="s">
        <v>7</v>
      </c>
      <c r="L7" s="8"/>
      <c r="M7" s="8"/>
    </row>
    <row r="8" customFormat="false" ht="15" hidden="false" customHeight="false" outlineLevel="0" collapsed="false">
      <c r="B8" s="9" t="n">
        <f aca="false">IF($C$5="All",SUM('Sales Data'!$K$2:$K$101),SUMIFS('Sales Data'!$K$2:$K$101,'Sales Data'!$F$2:$F$101,$C$5))</f>
        <v>727952000</v>
      </c>
      <c r="C8" s="9"/>
      <c r="D8" s="9"/>
      <c r="E8" s="10" t="n">
        <f aca="false">IF($C$5="All",SUM('Sales Data'!$H$2:$H$101),SUMIFS('Sales Data'!$H$2:$H$101,'Sales Data'!$F$2:$F$101,$C$5))</f>
        <v>763</v>
      </c>
      <c r="F8" s="10"/>
      <c r="G8" s="10"/>
      <c r="H8" s="11" t="n">
        <f aca="false">IF($C$5="All",SUM('Sales Data'!$K$2:$K$101)/COUNTA('Sales Data'!$A$2:$A$101),SUMIFS('Sales Data'!$K$2:$K$101,'Sales Data'!$F$2:$F$101,$C$5)/COUNTIFS('Sales Data'!$F$2:$F$101,$C$5))</f>
        <v>7279520</v>
      </c>
      <c r="I8" s="11"/>
      <c r="J8" s="11"/>
      <c r="K8" s="12" t="str">
        <f aca="false">INDEX(Summary!$F$5:$F$11,MATCH(MAX(Summary!$H$5:$H$11),Summary!$H$5:$H$11,0))</f>
        <v>Mahindra</v>
      </c>
      <c r="L8" s="12"/>
      <c r="M8" s="12"/>
    </row>
    <row r="9" customFormat="false" ht="15" hidden="false" customHeight="false" outlineLevel="0" collapsed="false">
      <c r="B9" s="9"/>
      <c r="C9" s="9"/>
      <c r="D9" s="9"/>
      <c r="E9" s="10"/>
      <c r="F9" s="10"/>
      <c r="G9" s="10"/>
      <c r="H9" s="11"/>
      <c r="I9" s="11"/>
      <c r="J9" s="11"/>
      <c r="K9" s="12"/>
      <c r="L9" s="12"/>
      <c r="M9" s="12"/>
    </row>
    <row r="10" customFormat="false" ht="15" hidden="false" customHeight="false" outlineLevel="0" collapsed="false">
      <c r="B10" s="9"/>
      <c r="C10" s="9"/>
      <c r="D10" s="9"/>
      <c r="E10" s="10"/>
      <c r="F10" s="10"/>
      <c r="G10" s="10"/>
      <c r="H10" s="11"/>
      <c r="I10" s="11"/>
      <c r="J10" s="11"/>
      <c r="K10" s="12"/>
      <c r="L10" s="12"/>
      <c r="M10" s="12"/>
    </row>
  </sheetData>
  <mergeCells count="10">
    <mergeCell ref="B2:K2"/>
    <mergeCell ref="B3:K3"/>
    <mergeCell ref="B7:D7"/>
    <mergeCell ref="E7:G7"/>
    <mergeCell ref="H7:J7"/>
    <mergeCell ref="K7:M7"/>
    <mergeCell ref="B8:D10"/>
    <mergeCell ref="E8:G10"/>
    <mergeCell ref="H8:J10"/>
    <mergeCell ref="K8:M10"/>
  </mergeCells>
  <dataValidations count="1">
    <dataValidation allowBlank="false" errorStyle="stop" operator="between" showDropDown="false" showErrorMessage="false" showInputMessage="false" sqref="C5" type="list">
      <formula1>"All,Central,East,North,South,West"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</row>
    <row r="2" customFormat="false" ht="15" hidden="false" customHeight="false" outlineLevel="0" collapsed="false">
      <c r="A2" s="14" t="s">
        <v>19</v>
      </c>
      <c r="B2" s="15" t="n">
        <v>46047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n">
        <v>14</v>
      </c>
      <c r="I2" s="16" t="n">
        <v>700000</v>
      </c>
      <c r="J2" s="14" t="n">
        <v>10</v>
      </c>
      <c r="K2" s="16" t="n">
        <f aca="false">H2*I2*(1-J2/100)</f>
        <v>8820000</v>
      </c>
    </row>
    <row r="3" customFormat="false" ht="15" hidden="false" customHeight="false" outlineLevel="0" collapsed="false">
      <c r="A3" s="14" t="s">
        <v>25</v>
      </c>
      <c r="B3" s="15" t="n">
        <v>46134</v>
      </c>
      <c r="C3" s="14" t="s">
        <v>20</v>
      </c>
      <c r="D3" s="14" t="s">
        <v>26</v>
      </c>
      <c r="E3" s="14" t="s">
        <v>27</v>
      </c>
      <c r="F3" s="14" t="s">
        <v>28</v>
      </c>
      <c r="G3" s="14" t="s">
        <v>29</v>
      </c>
      <c r="H3" s="14" t="n">
        <v>1</v>
      </c>
      <c r="I3" s="16" t="n">
        <v>600000</v>
      </c>
      <c r="J3" s="14" t="n">
        <v>0</v>
      </c>
      <c r="K3" s="16" t="n">
        <f aca="false">H3*I3*(1-J3/100)</f>
        <v>600000</v>
      </c>
    </row>
    <row r="4" customFormat="false" ht="15" hidden="false" customHeight="false" outlineLevel="0" collapsed="false">
      <c r="A4" s="14" t="s">
        <v>30</v>
      </c>
      <c r="B4" s="15" t="n">
        <v>46167</v>
      </c>
      <c r="C4" s="14" t="s">
        <v>31</v>
      </c>
      <c r="D4" s="14" t="s">
        <v>32</v>
      </c>
      <c r="E4" s="14" t="s">
        <v>33</v>
      </c>
      <c r="F4" s="14" t="s">
        <v>23</v>
      </c>
      <c r="G4" s="14" t="s">
        <v>34</v>
      </c>
      <c r="H4" s="14" t="n">
        <v>7</v>
      </c>
      <c r="I4" s="16" t="n">
        <v>1600000</v>
      </c>
      <c r="J4" s="14" t="n">
        <v>0</v>
      </c>
      <c r="K4" s="16" t="n">
        <f aca="false">H4*I4*(1-J4/100)</f>
        <v>11200000</v>
      </c>
    </row>
    <row r="5" customFormat="false" ht="15" hidden="false" customHeight="false" outlineLevel="0" collapsed="false">
      <c r="A5" s="14" t="s">
        <v>35</v>
      </c>
      <c r="B5" s="15" t="n">
        <v>46079</v>
      </c>
      <c r="C5" s="14" t="s">
        <v>36</v>
      </c>
      <c r="D5" s="14" t="s">
        <v>37</v>
      </c>
      <c r="E5" s="14" t="s">
        <v>27</v>
      </c>
      <c r="F5" s="14" t="s">
        <v>28</v>
      </c>
      <c r="G5" s="14" t="s">
        <v>34</v>
      </c>
      <c r="H5" s="14" t="n">
        <v>7</v>
      </c>
      <c r="I5" s="16" t="n">
        <v>700000</v>
      </c>
      <c r="J5" s="14" t="n">
        <v>0</v>
      </c>
      <c r="K5" s="16" t="n">
        <f aca="false">H5*I5*(1-J5/100)</f>
        <v>4900000</v>
      </c>
    </row>
    <row r="6" customFormat="false" ht="15" hidden="false" customHeight="false" outlineLevel="0" collapsed="false">
      <c r="A6" s="14" t="s">
        <v>38</v>
      </c>
      <c r="B6" s="15" t="n">
        <v>46053</v>
      </c>
      <c r="C6" s="14" t="s">
        <v>36</v>
      </c>
      <c r="D6" s="14" t="s">
        <v>39</v>
      </c>
      <c r="E6" s="14" t="s">
        <v>33</v>
      </c>
      <c r="F6" s="14" t="s">
        <v>40</v>
      </c>
      <c r="G6" s="14" t="s">
        <v>41</v>
      </c>
      <c r="H6" s="14" t="n">
        <v>3</v>
      </c>
      <c r="I6" s="16" t="n">
        <v>600000</v>
      </c>
      <c r="J6" s="14" t="n">
        <v>10</v>
      </c>
      <c r="K6" s="16" t="n">
        <f aca="false">H6*I6*(1-J6/100)</f>
        <v>1620000</v>
      </c>
    </row>
    <row r="7" customFormat="false" ht="15" hidden="false" customHeight="false" outlineLevel="0" collapsed="false">
      <c r="A7" s="14" t="s">
        <v>42</v>
      </c>
      <c r="B7" s="15" t="n">
        <v>46118</v>
      </c>
      <c r="C7" s="14" t="s">
        <v>43</v>
      </c>
      <c r="D7" s="14" t="s">
        <v>44</v>
      </c>
      <c r="E7" s="14" t="s">
        <v>33</v>
      </c>
      <c r="F7" s="14" t="s">
        <v>23</v>
      </c>
      <c r="G7" s="14" t="s">
        <v>34</v>
      </c>
      <c r="H7" s="14" t="n">
        <v>10</v>
      </c>
      <c r="I7" s="16" t="n">
        <v>1100000</v>
      </c>
      <c r="J7" s="14" t="n">
        <v>2</v>
      </c>
      <c r="K7" s="16" t="n">
        <f aca="false">H7*I7*(1-J7/100)</f>
        <v>10780000</v>
      </c>
    </row>
    <row r="8" customFormat="false" ht="15" hidden="false" customHeight="false" outlineLevel="0" collapsed="false">
      <c r="A8" s="14" t="s">
        <v>45</v>
      </c>
      <c r="B8" s="15" t="n">
        <v>46150</v>
      </c>
      <c r="C8" s="14" t="s">
        <v>36</v>
      </c>
      <c r="D8" s="14" t="s">
        <v>39</v>
      </c>
      <c r="E8" s="14" t="s">
        <v>27</v>
      </c>
      <c r="F8" s="14" t="s">
        <v>28</v>
      </c>
      <c r="G8" s="14" t="s">
        <v>24</v>
      </c>
      <c r="H8" s="14" t="n">
        <v>10</v>
      </c>
      <c r="I8" s="16" t="n">
        <v>600000</v>
      </c>
      <c r="J8" s="14" t="n">
        <v>2</v>
      </c>
      <c r="K8" s="16" t="n">
        <f aca="false">H8*I8*(1-J8/100)</f>
        <v>5880000</v>
      </c>
    </row>
    <row r="9" customFormat="false" ht="15" hidden="false" customHeight="false" outlineLevel="0" collapsed="false">
      <c r="A9" s="14" t="s">
        <v>46</v>
      </c>
      <c r="B9" s="15" t="n">
        <v>46115</v>
      </c>
      <c r="C9" s="14" t="s">
        <v>47</v>
      </c>
      <c r="D9" s="14" t="s">
        <v>48</v>
      </c>
      <c r="E9" s="14" t="s">
        <v>49</v>
      </c>
      <c r="F9" s="14" t="s">
        <v>50</v>
      </c>
      <c r="G9" s="14" t="s">
        <v>34</v>
      </c>
      <c r="H9" s="14" t="n">
        <v>15</v>
      </c>
      <c r="I9" s="16" t="n">
        <v>900000</v>
      </c>
      <c r="J9" s="14" t="n">
        <v>7</v>
      </c>
      <c r="K9" s="16" t="n">
        <f aca="false">H9*I9*(1-J9/100)</f>
        <v>12555000</v>
      </c>
    </row>
    <row r="10" customFormat="false" ht="15" hidden="false" customHeight="false" outlineLevel="0" collapsed="false">
      <c r="A10" s="14" t="s">
        <v>51</v>
      </c>
      <c r="B10" s="15" t="n">
        <v>46157</v>
      </c>
      <c r="C10" s="14" t="s">
        <v>20</v>
      </c>
      <c r="D10" s="14" t="s">
        <v>21</v>
      </c>
      <c r="E10" s="14" t="s">
        <v>33</v>
      </c>
      <c r="F10" s="14" t="s">
        <v>52</v>
      </c>
      <c r="G10" s="14" t="s">
        <v>24</v>
      </c>
      <c r="H10" s="14" t="n">
        <v>10</v>
      </c>
      <c r="I10" s="16" t="n">
        <v>700000</v>
      </c>
      <c r="J10" s="14" t="n">
        <v>5</v>
      </c>
      <c r="K10" s="16" t="n">
        <f aca="false">H10*I10*(1-J10/100)</f>
        <v>6650000</v>
      </c>
    </row>
    <row r="11" customFormat="false" ht="15" hidden="false" customHeight="false" outlineLevel="0" collapsed="false">
      <c r="A11" s="14" t="s">
        <v>53</v>
      </c>
      <c r="B11" s="15" t="n">
        <v>46154</v>
      </c>
      <c r="C11" s="14" t="s">
        <v>31</v>
      </c>
      <c r="D11" s="14" t="s">
        <v>54</v>
      </c>
      <c r="E11" s="14" t="s">
        <v>22</v>
      </c>
      <c r="F11" s="14" t="s">
        <v>40</v>
      </c>
      <c r="G11" s="14" t="s">
        <v>34</v>
      </c>
      <c r="H11" s="14" t="n">
        <v>2</v>
      </c>
      <c r="I11" s="16" t="n">
        <v>1300000</v>
      </c>
      <c r="J11" s="14" t="n">
        <v>0</v>
      </c>
      <c r="K11" s="16" t="n">
        <f aca="false">H11*I11*(1-J11/100)</f>
        <v>2600000</v>
      </c>
    </row>
    <row r="12" customFormat="false" ht="15" hidden="false" customHeight="false" outlineLevel="0" collapsed="false">
      <c r="A12" s="14" t="s">
        <v>55</v>
      </c>
      <c r="B12" s="15" t="n">
        <v>46194</v>
      </c>
      <c r="C12" s="14" t="s">
        <v>31</v>
      </c>
      <c r="D12" s="14" t="s">
        <v>56</v>
      </c>
      <c r="E12" s="14" t="s">
        <v>49</v>
      </c>
      <c r="F12" s="14" t="s">
        <v>52</v>
      </c>
      <c r="G12" s="14" t="s">
        <v>41</v>
      </c>
      <c r="H12" s="14" t="n">
        <v>7</v>
      </c>
      <c r="I12" s="16" t="n">
        <v>1400000</v>
      </c>
      <c r="J12" s="14" t="n">
        <v>0</v>
      </c>
      <c r="K12" s="16" t="n">
        <f aca="false">H12*I12*(1-J12/100)</f>
        <v>9800000</v>
      </c>
    </row>
    <row r="13" customFormat="false" ht="15" hidden="false" customHeight="false" outlineLevel="0" collapsed="false">
      <c r="A13" s="14" t="s">
        <v>57</v>
      </c>
      <c r="B13" s="15" t="n">
        <v>46171</v>
      </c>
      <c r="C13" s="14" t="s">
        <v>36</v>
      </c>
      <c r="D13" s="14" t="s">
        <v>39</v>
      </c>
      <c r="E13" s="14" t="s">
        <v>49</v>
      </c>
      <c r="F13" s="14" t="s">
        <v>40</v>
      </c>
      <c r="G13" s="14" t="s">
        <v>58</v>
      </c>
      <c r="H13" s="14" t="n">
        <v>10</v>
      </c>
      <c r="I13" s="16" t="n">
        <v>600000</v>
      </c>
      <c r="J13" s="14" t="n">
        <v>7</v>
      </c>
      <c r="K13" s="16" t="n">
        <f aca="false">H13*I13*(1-J13/100)</f>
        <v>5580000</v>
      </c>
    </row>
    <row r="14" customFormat="false" ht="15" hidden="false" customHeight="false" outlineLevel="0" collapsed="false">
      <c r="A14" s="14" t="s">
        <v>59</v>
      </c>
      <c r="B14" s="15" t="n">
        <v>46038</v>
      </c>
      <c r="C14" s="14" t="s">
        <v>60</v>
      </c>
      <c r="D14" s="14" t="s">
        <v>61</v>
      </c>
      <c r="E14" s="14" t="s">
        <v>27</v>
      </c>
      <c r="F14" s="14" t="s">
        <v>23</v>
      </c>
      <c r="G14" s="14" t="s">
        <v>58</v>
      </c>
      <c r="H14" s="14" t="n">
        <v>8</v>
      </c>
      <c r="I14" s="16" t="n">
        <v>800000</v>
      </c>
      <c r="J14" s="14" t="n">
        <v>0</v>
      </c>
      <c r="K14" s="16" t="n">
        <f aca="false">H14*I14*(1-J14/100)</f>
        <v>6400000</v>
      </c>
    </row>
    <row r="15" customFormat="false" ht="15" hidden="false" customHeight="false" outlineLevel="0" collapsed="false">
      <c r="A15" s="14" t="s">
        <v>62</v>
      </c>
      <c r="B15" s="15" t="n">
        <v>46028</v>
      </c>
      <c r="C15" s="14" t="s">
        <v>47</v>
      </c>
      <c r="D15" s="14" t="s">
        <v>63</v>
      </c>
      <c r="E15" s="14" t="s">
        <v>22</v>
      </c>
      <c r="F15" s="14" t="s">
        <v>40</v>
      </c>
      <c r="G15" s="14" t="s">
        <v>41</v>
      </c>
      <c r="H15" s="14" t="n">
        <v>15</v>
      </c>
      <c r="I15" s="16" t="n">
        <v>750000</v>
      </c>
      <c r="J15" s="14" t="n">
        <v>5</v>
      </c>
      <c r="K15" s="16" t="n">
        <f aca="false">H15*I15*(1-J15/100)</f>
        <v>10687500</v>
      </c>
    </row>
    <row r="16" customFormat="false" ht="15" hidden="false" customHeight="false" outlineLevel="0" collapsed="false">
      <c r="A16" s="14" t="s">
        <v>64</v>
      </c>
      <c r="B16" s="15" t="n">
        <v>46078</v>
      </c>
      <c r="C16" s="14" t="s">
        <v>31</v>
      </c>
      <c r="D16" s="14" t="s">
        <v>54</v>
      </c>
      <c r="E16" s="14" t="s">
        <v>33</v>
      </c>
      <c r="F16" s="14" t="s">
        <v>28</v>
      </c>
      <c r="G16" s="14" t="s">
        <v>24</v>
      </c>
      <c r="H16" s="14" t="n">
        <v>8</v>
      </c>
      <c r="I16" s="16" t="n">
        <v>1300000</v>
      </c>
      <c r="J16" s="14" t="n">
        <v>0</v>
      </c>
      <c r="K16" s="16" t="n">
        <f aca="false">H16*I16*(1-J16/100)</f>
        <v>10400000</v>
      </c>
    </row>
    <row r="17" customFormat="false" ht="15" hidden="false" customHeight="false" outlineLevel="0" collapsed="false">
      <c r="A17" s="14" t="s">
        <v>65</v>
      </c>
      <c r="B17" s="15" t="n">
        <v>46043</v>
      </c>
      <c r="C17" s="14" t="s">
        <v>60</v>
      </c>
      <c r="D17" s="14" t="s">
        <v>61</v>
      </c>
      <c r="E17" s="14" t="s">
        <v>33</v>
      </c>
      <c r="F17" s="14" t="s">
        <v>52</v>
      </c>
      <c r="G17" s="14" t="s">
        <v>41</v>
      </c>
      <c r="H17" s="14" t="n">
        <v>7</v>
      </c>
      <c r="I17" s="16" t="n">
        <v>800000</v>
      </c>
      <c r="J17" s="14" t="n">
        <v>7</v>
      </c>
      <c r="K17" s="16" t="n">
        <f aca="false">H17*I17*(1-J17/100)</f>
        <v>5208000</v>
      </c>
    </row>
    <row r="18" customFormat="false" ht="15" hidden="false" customHeight="false" outlineLevel="0" collapsed="false">
      <c r="A18" s="14" t="s">
        <v>66</v>
      </c>
      <c r="B18" s="15" t="n">
        <v>46232</v>
      </c>
      <c r="C18" s="14" t="s">
        <v>67</v>
      </c>
      <c r="D18" s="14" t="s">
        <v>68</v>
      </c>
      <c r="E18" s="14" t="s">
        <v>22</v>
      </c>
      <c r="F18" s="14" t="s">
        <v>28</v>
      </c>
      <c r="G18" s="14" t="s">
        <v>58</v>
      </c>
      <c r="H18" s="14" t="n">
        <v>15</v>
      </c>
      <c r="I18" s="16" t="n">
        <v>1150000</v>
      </c>
      <c r="J18" s="14" t="n">
        <v>2</v>
      </c>
      <c r="K18" s="16" t="n">
        <f aca="false">H18*I18*(1-J18/100)</f>
        <v>16905000</v>
      </c>
    </row>
    <row r="19" customFormat="false" ht="15" hidden="false" customHeight="false" outlineLevel="0" collapsed="false">
      <c r="A19" s="14" t="s">
        <v>69</v>
      </c>
      <c r="B19" s="15" t="n">
        <v>46082</v>
      </c>
      <c r="C19" s="14" t="s">
        <v>31</v>
      </c>
      <c r="D19" s="14" t="s">
        <v>70</v>
      </c>
      <c r="E19" s="14" t="s">
        <v>49</v>
      </c>
      <c r="F19" s="14" t="s">
        <v>50</v>
      </c>
      <c r="G19" s="14" t="s">
        <v>58</v>
      </c>
      <c r="H19" s="14" t="n">
        <v>11</v>
      </c>
      <c r="I19" s="16" t="n">
        <v>950000</v>
      </c>
      <c r="J19" s="14" t="n">
        <v>7</v>
      </c>
      <c r="K19" s="16" t="n">
        <f aca="false">H19*I19*(1-J19/100)</f>
        <v>9718500</v>
      </c>
    </row>
    <row r="20" customFormat="false" ht="15" hidden="false" customHeight="false" outlineLevel="0" collapsed="false">
      <c r="A20" s="14" t="s">
        <v>71</v>
      </c>
      <c r="B20" s="15" t="n">
        <v>46026</v>
      </c>
      <c r="C20" s="14" t="s">
        <v>67</v>
      </c>
      <c r="D20" s="14" t="s">
        <v>72</v>
      </c>
      <c r="E20" s="14" t="s">
        <v>33</v>
      </c>
      <c r="F20" s="14" t="s">
        <v>52</v>
      </c>
      <c r="G20" s="14" t="s">
        <v>29</v>
      </c>
      <c r="H20" s="14" t="n">
        <v>11</v>
      </c>
      <c r="I20" s="16" t="n">
        <v>1150000</v>
      </c>
      <c r="J20" s="14" t="n">
        <v>2</v>
      </c>
      <c r="K20" s="16" t="n">
        <f aca="false">H20*I20*(1-J20/100)</f>
        <v>12397000</v>
      </c>
    </row>
    <row r="21" customFormat="false" ht="15" hidden="false" customHeight="false" outlineLevel="0" collapsed="false">
      <c r="A21" s="14" t="s">
        <v>73</v>
      </c>
      <c r="B21" s="15" t="n">
        <v>46130</v>
      </c>
      <c r="C21" s="14" t="s">
        <v>31</v>
      </c>
      <c r="D21" s="14" t="s">
        <v>70</v>
      </c>
      <c r="E21" s="14" t="s">
        <v>33</v>
      </c>
      <c r="F21" s="14" t="s">
        <v>40</v>
      </c>
      <c r="G21" s="14" t="s">
        <v>58</v>
      </c>
      <c r="H21" s="14" t="n">
        <v>1</v>
      </c>
      <c r="I21" s="16" t="n">
        <v>950000</v>
      </c>
      <c r="J21" s="14" t="n">
        <v>2</v>
      </c>
      <c r="K21" s="16" t="n">
        <f aca="false">H21*I21*(1-J21/100)</f>
        <v>931000</v>
      </c>
    </row>
    <row r="22" customFormat="false" ht="15" hidden="false" customHeight="false" outlineLevel="0" collapsed="false">
      <c r="A22" s="14" t="s">
        <v>74</v>
      </c>
      <c r="B22" s="15" t="n">
        <v>46139</v>
      </c>
      <c r="C22" s="14" t="s">
        <v>43</v>
      </c>
      <c r="D22" s="14" t="s">
        <v>44</v>
      </c>
      <c r="E22" s="14" t="s">
        <v>49</v>
      </c>
      <c r="F22" s="14" t="s">
        <v>52</v>
      </c>
      <c r="G22" s="14" t="s">
        <v>34</v>
      </c>
      <c r="H22" s="14" t="n">
        <v>10</v>
      </c>
      <c r="I22" s="16" t="n">
        <v>1100000</v>
      </c>
      <c r="J22" s="14" t="n">
        <v>0</v>
      </c>
      <c r="K22" s="16" t="n">
        <f aca="false">H22*I22*(1-J22/100)</f>
        <v>11000000</v>
      </c>
    </row>
    <row r="23" customFormat="false" ht="15" hidden="false" customHeight="false" outlineLevel="0" collapsed="false">
      <c r="A23" s="14" t="s">
        <v>75</v>
      </c>
      <c r="B23" s="15" t="n">
        <v>46146</v>
      </c>
      <c r="C23" s="14" t="s">
        <v>60</v>
      </c>
      <c r="D23" s="14" t="s">
        <v>76</v>
      </c>
      <c r="E23" s="14" t="s">
        <v>22</v>
      </c>
      <c r="F23" s="14" t="s">
        <v>50</v>
      </c>
      <c r="G23" s="14" t="s">
        <v>41</v>
      </c>
      <c r="H23" s="14" t="n">
        <v>7</v>
      </c>
      <c r="I23" s="16" t="n">
        <v>1300000</v>
      </c>
      <c r="J23" s="14" t="n">
        <v>0</v>
      </c>
      <c r="K23" s="16" t="n">
        <f aca="false">H23*I23*(1-J23/100)</f>
        <v>9100000</v>
      </c>
    </row>
    <row r="24" customFormat="false" ht="15" hidden="false" customHeight="false" outlineLevel="0" collapsed="false">
      <c r="A24" s="14" t="s">
        <v>77</v>
      </c>
      <c r="B24" s="15" t="n">
        <v>46064</v>
      </c>
      <c r="C24" s="14" t="s">
        <v>47</v>
      </c>
      <c r="D24" s="14" t="s">
        <v>48</v>
      </c>
      <c r="E24" s="14" t="s">
        <v>27</v>
      </c>
      <c r="F24" s="14" t="s">
        <v>52</v>
      </c>
      <c r="G24" s="14" t="s">
        <v>24</v>
      </c>
      <c r="H24" s="14" t="n">
        <v>4</v>
      </c>
      <c r="I24" s="16" t="n">
        <v>900000</v>
      </c>
      <c r="J24" s="14" t="n">
        <v>7</v>
      </c>
      <c r="K24" s="16" t="n">
        <f aca="false">H24*I24*(1-J24/100)</f>
        <v>3348000</v>
      </c>
    </row>
    <row r="25" customFormat="false" ht="15" hidden="false" customHeight="false" outlineLevel="0" collapsed="false">
      <c r="A25" s="14" t="s">
        <v>78</v>
      </c>
      <c r="B25" s="15" t="n">
        <v>46160</v>
      </c>
      <c r="C25" s="14" t="s">
        <v>36</v>
      </c>
      <c r="D25" s="14" t="s">
        <v>79</v>
      </c>
      <c r="E25" s="14" t="s">
        <v>27</v>
      </c>
      <c r="F25" s="14" t="s">
        <v>23</v>
      </c>
      <c r="G25" s="14" t="s">
        <v>24</v>
      </c>
      <c r="H25" s="14" t="n">
        <v>10</v>
      </c>
      <c r="I25" s="16" t="n">
        <v>450000</v>
      </c>
      <c r="J25" s="14" t="n">
        <v>2</v>
      </c>
      <c r="K25" s="16" t="n">
        <f aca="false">H25*I25*(1-J25/100)</f>
        <v>4410000</v>
      </c>
    </row>
    <row r="26" customFormat="false" ht="15" hidden="false" customHeight="false" outlineLevel="0" collapsed="false">
      <c r="A26" s="14" t="s">
        <v>80</v>
      </c>
      <c r="B26" s="15" t="n">
        <v>46061</v>
      </c>
      <c r="C26" s="14" t="s">
        <v>36</v>
      </c>
      <c r="D26" s="14" t="s">
        <v>79</v>
      </c>
      <c r="E26" s="14" t="s">
        <v>27</v>
      </c>
      <c r="F26" s="14" t="s">
        <v>23</v>
      </c>
      <c r="G26" s="14" t="s">
        <v>29</v>
      </c>
      <c r="H26" s="14" t="n">
        <v>10</v>
      </c>
      <c r="I26" s="16" t="n">
        <v>450000</v>
      </c>
      <c r="J26" s="14" t="n">
        <v>7</v>
      </c>
      <c r="K26" s="16" t="n">
        <f aca="false">H26*I26*(1-J26/100)</f>
        <v>4185000</v>
      </c>
    </row>
    <row r="27" customFormat="false" ht="15" hidden="false" customHeight="false" outlineLevel="0" collapsed="false">
      <c r="A27" s="14" t="s">
        <v>81</v>
      </c>
      <c r="B27" s="15" t="n">
        <v>46052</v>
      </c>
      <c r="C27" s="14" t="s">
        <v>47</v>
      </c>
      <c r="D27" s="14" t="s">
        <v>63</v>
      </c>
      <c r="E27" s="14" t="s">
        <v>49</v>
      </c>
      <c r="F27" s="14" t="s">
        <v>28</v>
      </c>
      <c r="G27" s="14" t="s">
        <v>58</v>
      </c>
      <c r="H27" s="14" t="n">
        <v>8</v>
      </c>
      <c r="I27" s="16" t="n">
        <v>750000</v>
      </c>
      <c r="J27" s="14" t="n">
        <v>0</v>
      </c>
      <c r="K27" s="16" t="n">
        <f aca="false">H27*I27*(1-J27/100)</f>
        <v>6000000</v>
      </c>
    </row>
    <row r="28" customFormat="false" ht="15" hidden="false" customHeight="false" outlineLevel="0" collapsed="false">
      <c r="A28" s="14" t="s">
        <v>82</v>
      </c>
      <c r="B28" s="15" t="n">
        <v>46059</v>
      </c>
      <c r="C28" s="14" t="s">
        <v>60</v>
      </c>
      <c r="D28" s="14" t="s">
        <v>61</v>
      </c>
      <c r="E28" s="14" t="s">
        <v>22</v>
      </c>
      <c r="F28" s="14" t="s">
        <v>50</v>
      </c>
      <c r="G28" s="14" t="s">
        <v>41</v>
      </c>
      <c r="H28" s="14" t="n">
        <v>5</v>
      </c>
      <c r="I28" s="16" t="n">
        <v>800000</v>
      </c>
      <c r="J28" s="14" t="n">
        <v>0</v>
      </c>
      <c r="K28" s="16" t="n">
        <f aca="false">H28*I28*(1-J28/100)</f>
        <v>4000000</v>
      </c>
    </row>
    <row r="29" customFormat="false" ht="15" hidden="false" customHeight="false" outlineLevel="0" collapsed="false">
      <c r="A29" s="14" t="s">
        <v>83</v>
      </c>
      <c r="B29" s="15" t="n">
        <v>46075</v>
      </c>
      <c r="C29" s="14" t="s">
        <v>36</v>
      </c>
      <c r="D29" s="14" t="s">
        <v>79</v>
      </c>
      <c r="E29" s="14" t="s">
        <v>49</v>
      </c>
      <c r="F29" s="14" t="s">
        <v>50</v>
      </c>
      <c r="G29" s="14" t="s">
        <v>29</v>
      </c>
      <c r="H29" s="14" t="n">
        <v>9</v>
      </c>
      <c r="I29" s="16" t="n">
        <v>450000</v>
      </c>
      <c r="J29" s="14" t="n">
        <v>0</v>
      </c>
      <c r="K29" s="16" t="n">
        <f aca="false">H29*I29*(1-J29/100)</f>
        <v>4050000</v>
      </c>
    </row>
    <row r="30" customFormat="false" ht="15" hidden="false" customHeight="false" outlineLevel="0" collapsed="false">
      <c r="A30" s="14" t="s">
        <v>84</v>
      </c>
      <c r="B30" s="15" t="n">
        <v>46099</v>
      </c>
      <c r="C30" s="14" t="s">
        <v>43</v>
      </c>
      <c r="D30" s="14" t="s">
        <v>44</v>
      </c>
      <c r="E30" s="14" t="s">
        <v>33</v>
      </c>
      <c r="F30" s="14" t="s">
        <v>28</v>
      </c>
      <c r="G30" s="14" t="s">
        <v>24</v>
      </c>
      <c r="H30" s="14" t="n">
        <v>13</v>
      </c>
      <c r="I30" s="16" t="n">
        <v>1100000</v>
      </c>
      <c r="J30" s="14" t="n">
        <v>10</v>
      </c>
      <c r="K30" s="16" t="n">
        <f aca="false">H30*I30*(1-J30/100)</f>
        <v>12870000</v>
      </c>
    </row>
    <row r="31" customFormat="false" ht="15" hidden="false" customHeight="false" outlineLevel="0" collapsed="false">
      <c r="A31" s="14" t="s">
        <v>85</v>
      </c>
      <c r="B31" s="15" t="n">
        <v>46114</v>
      </c>
      <c r="C31" s="14" t="s">
        <v>47</v>
      </c>
      <c r="D31" s="14" t="s">
        <v>86</v>
      </c>
      <c r="E31" s="14" t="s">
        <v>33</v>
      </c>
      <c r="F31" s="14" t="s">
        <v>28</v>
      </c>
      <c r="G31" s="14" t="s">
        <v>58</v>
      </c>
      <c r="H31" s="14" t="n">
        <v>15</v>
      </c>
      <c r="I31" s="16" t="n">
        <v>2000000</v>
      </c>
      <c r="J31" s="14" t="n">
        <v>2</v>
      </c>
      <c r="K31" s="16" t="n">
        <f aca="false">H31*I31*(1-J31/100)</f>
        <v>29400000</v>
      </c>
    </row>
    <row r="32" customFormat="false" ht="15" hidden="false" customHeight="false" outlineLevel="0" collapsed="false">
      <c r="A32" s="14" t="s">
        <v>87</v>
      </c>
      <c r="B32" s="15" t="n">
        <v>46229</v>
      </c>
      <c r="C32" s="14" t="s">
        <v>60</v>
      </c>
      <c r="D32" s="14" t="s">
        <v>88</v>
      </c>
      <c r="E32" s="14" t="s">
        <v>49</v>
      </c>
      <c r="F32" s="14" t="s">
        <v>52</v>
      </c>
      <c r="G32" s="14" t="s">
        <v>34</v>
      </c>
      <c r="H32" s="14" t="n">
        <v>13</v>
      </c>
      <c r="I32" s="16" t="n">
        <v>1250000</v>
      </c>
      <c r="J32" s="14" t="n">
        <v>2</v>
      </c>
      <c r="K32" s="16" t="n">
        <f aca="false">H32*I32*(1-J32/100)</f>
        <v>15925000</v>
      </c>
    </row>
    <row r="33" customFormat="false" ht="15" hidden="false" customHeight="false" outlineLevel="0" collapsed="false">
      <c r="A33" s="14" t="s">
        <v>89</v>
      </c>
      <c r="B33" s="15" t="n">
        <v>46210</v>
      </c>
      <c r="C33" s="14" t="s">
        <v>67</v>
      </c>
      <c r="D33" s="14" t="s">
        <v>68</v>
      </c>
      <c r="E33" s="14" t="s">
        <v>33</v>
      </c>
      <c r="F33" s="14" t="s">
        <v>52</v>
      </c>
      <c r="G33" s="14" t="s">
        <v>34</v>
      </c>
      <c r="H33" s="14" t="n">
        <v>8</v>
      </c>
      <c r="I33" s="16" t="n">
        <v>1150000</v>
      </c>
      <c r="J33" s="14" t="n">
        <v>5</v>
      </c>
      <c r="K33" s="16" t="n">
        <f aca="false">H33*I33*(1-J33/100)</f>
        <v>8740000</v>
      </c>
    </row>
    <row r="34" customFormat="false" ht="15" hidden="false" customHeight="false" outlineLevel="0" collapsed="false">
      <c r="A34" s="14" t="s">
        <v>90</v>
      </c>
      <c r="B34" s="15" t="n">
        <v>46111</v>
      </c>
      <c r="C34" s="14" t="s">
        <v>36</v>
      </c>
      <c r="D34" s="14" t="s">
        <v>91</v>
      </c>
      <c r="E34" s="14" t="s">
        <v>49</v>
      </c>
      <c r="F34" s="14" t="s">
        <v>50</v>
      </c>
      <c r="G34" s="14" t="s">
        <v>58</v>
      </c>
      <c r="H34" s="14" t="n">
        <v>4</v>
      </c>
      <c r="I34" s="16" t="n">
        <v>650000</v>
      </c>
      <c r="J34" s="14" t="n">
        <v>10</v>
      </c>
      <c r="K34" s="16" t="n">
        <f aca="false">H34*I34*(1-J34/100)</f>
        <v>2340000</v>
      </c>
    </row>
    <row r="35" customFormat="false" ht="15" hidden="false" customHeight="false" outlineLevel="0" collapsed="false">
      <c r="A35" s="14" t="s">
        <v>92</v>
      </c>
      <c r="B35" s="15" t="n">
        <v>46143</v>
      </c>
      <c r="C35" s="14" t="s">
        <v>31</v>
      </c>
      <c r="D35" s="14" t="s">
        <v>54</v>
      </c>
      <c r="E35" s="14" t="s">
        <v>49</v>
      </c>
      <c r="F35" s="14" t="s">
        <v>23</v>
      </c>
      <c r="G35" s="14" t="s">
        <v>29</v>
      </c>
      <c r="H35" s="14" t="n">
        <v>2</v>
      </c>
      <c r="I35" s="16" t="n">
        <v>1300000</v>
      </c>
      <c r="J35" s="14" t="n">
        <v>2</v>
      </c>
      <c r="K35" s="16" t="n">
        <f aca="false">H35*I35*(1-J35/100)</f>
        <v>2548000</v>
      </c>
    </row>
    <row r="36" customFormat="false" ht="15" hidden="false" customHeight="false" outlineLevel="0" collapsed="false">
      <c r="A36" s="14" t="s">
        <v>93</v>
      </c>
      <c r="B36" s="15" t="n">
        <v>46023</v>
      </c>
      <c r="C36" s="14" t="s">
        <v>67</v>
      </c>
      <c r="D36" s="14" t="s">
        <v>94</v>
      </c>
      <c r="E36" s="14" t="s">
        <v>33</v>
      </c>
      <c r="F36" s="14" t="s">
        <v>50</v>
      </c>
      <c r="G36" s="14" t="s">
        <v>34</v>
      </c>
      <c r="H36" s="14" t="n">
        <v>15</v>
      </c>
      <c r="I36" s="16" t="n">
        <v>900000</v>
      </c>
      <c r="J36" s="14" t="n">
        <v>10</v>
      </c>
      <c r="K36" s="16" t="n">
        <f aca="false">H36*I36*(1-J36/100)</f>
        <v>12150000</v>
      </c>
    </row>
    <row r="37" customFormat="false" ht="15" hidden="false" customHeight="false" outlineLevel="0" collapsed="false">
      <c r="A37" s="14" t="s">
        <v>95</v>
      </c>
      <c r="B37" s="15" t="n">
        <v>46145</v>
      </c>
      <c r="C37" s="14" t="s">
        <v>31</v>
      </c>
      <c r="D37" s="14" t="s">
        <v>54</v>
      </c>
      <c r="E37" s="14" t="s">
        <v>27</v>
      </c>
      <c r="F37" s="14" t="s">
        <v>23</v>
      </c>
      <c r="G37" s="14" t="s">
        <v>41</v>
      </c>
      <c r="H37" s="14" t="n">
        <v>13</v>
      </c>
      <c r="I37" s="16" t="n">
        <v>1300000</v>
      </c>
      <c r="J37" s="14" t="n">
        <v>2</v>
      </c>
      <c r="K37" s="16" t="n">
        <f aca="false">H37*I37*(1-J37/100)</f>
        <v>16562000</v>
      </c>
    </row>
    <row r="38" customFormat="false" ht="15" hidden="false" customHeight="false" outlineLevel="0" collapsed="false">
      <c r="A38" s="14" t="s">
        <v>96</v>
      </c>
      <c r="B38" s="15" t="n">
        <v>46213</v>
      </c>
      <c r="C38" s="14" t="s">
        <v>67</v>
      </c>
      <c r="D38" s="14" t="s">
        <v>68</v>
      </c>
      <c r="E38" s="14" t="s">
        <v>49</v>
      </c>
      <c r="F38" s="14" t="s">
        <v>23</v>
      </c>
      <c r="G38" s="14" t="s">
        <v>41</v>
      </c>
      <c r="H38" s="14" t="n">
        <v>8</v>
      </c>
      <c r="I38" s="16" t="n">
        <v>1150000</v>
      </c>
      <c r="J38" s="14" t="n">
        <v>7</v>
      </c>
      <c r="K38" s="16" t="n">
        <f aca="false">H38*I38*(1-J38/100)</f>
        <v>8556000</v>
      </c>
    </row>
    <row r="39" customFormat="false" ht="15" hidden="false" customHeight="false" outlineLevel="0" collapsed="false">
      <c r="A39" s="14" t="s">
        <v>97</v>
      </c>
      <c r="B39" s="15" t="n">
        <v>46142</v>
      </c>
      <c r="C39" s="14" t="s">
        <v>36</v>
      </c>
      <c r="D39" s="14" t="s">
        <v>37</v>
      </c>
      <c r="E39" s="14" t="s">
        <v>33</v>
      </c>
      <c r="F39" s="14" t="s">
        <v>52</v>
      </c>
      <c r="G39" s="14" t="s">
        <v>24</v>
      </c>
      <c r="H39" s="14" t="n">
        <v>3</v>
      </c>
      <c r="I39" s="16" t="n">
        <v>700000</v>
      </c>
      <c r="J39" s="14" t="n">
        <v>10</v>
      </c>
      <c r="K39" s="16" t="n">
        <f aca="false">H39*I39*(1-J39/100)</f>
        <v>1890000</v>
      </c>
    </row>
    <row r="40" customFormat="false" ht="15" hidden="false" customHeight="false" outlineLevel="0" collapsed="false">
      <c r="A40" s="14" t="s">
        <v>98</v>
      </c>
      <c r="B40" s="15" t="n">
        <v>46062</v>
      </c>
      <c r="C40" s="14" t="s">
        <v>60</v>
      </c>
      <c r="D40" s="14" t="s">
        <v>76</v>
      </c>
      <c r="E40" s="14" t="s">
        <v>33</v>
      </c>
      <c r="F40" s="14" t="s">
        <v>28</v>
      </c>
      <c r="G40" s="14" t="s">
        <v>34</v>
      </c>
      <c r="H40" s="14" t="n">
        <v>8</v>
      </c>
      <c r="I40" s="16" t="n">
        <v>1300000</v>
      </c>
      <c r="J40" s="14" t="n">
        <v>5</v>
      </c>
      <c r="K40" s="16" t="n">
        <f aca="false">H40*I40*(1-J40/100)</f>
        <v>9880000</v>
      </c>
    </row>
    <row r="41" customFormat="false" ht="15" hidden="false" customHeight="false" outlineLevel="0" collapsed="false">
      <c r="A41" s="14" t="s">
        <v>99</v>
      </c>
      <c r="B41" s="15" t="n">
        <v>46134</v>
      </c>
      <c r="C41" s="14" t="s">
        <v>43</v>
      </c>
      <c r="D41" s="14" t="s">
        <v>100</v>
      </c>
      <c r="E41" s="14" t="s">
        <v>27</v>
      </c>
      <c r="F41" s="14" t="s">
        <v>23</v>
      </c>
      <c r="G41" s="14" t="s">
        <v>24</v>
      </c>
      <c r="H41" s="14" t="n">
        <v>9</v>
      </c>
      <c r="I41" s="16" t="n">
        <v>800000</v>
      </c>
      <c r="J41" s="14" t="n">
        <v>2</v>
      </c>
      <c r="K41" s="16" t="n">
        <f aca="false">H41*I41*(1-J41/100)</f>
        <v>7056000</v>
      </c>
    </row>
    <row r="42" customFormat="false" ht="15" hidden="false" customHeight="false" outlineLevel="0" collapsed="false">
      <c r="A42" s="14" t="s">
        <v>101</v>
      </c>
      <c r="B42" s="15" t="n">
        <v>46151</v>
      </c>
      <c r="C42" s="14" t="s">
        <v>60</v>
      </c>
      <c r="D42" s="14" t="s">
        <v>88</v>
      </c>
      <c r="E42" s="14" t="s">
        <v>33</v>
      </c>
      <c r="F42" s="14" t="s">
        <v>23</v>
      </c>
      <c r="G42" s="14" t="s">
        <v>58</v>
      </c>
      <c r="H42" s="14" t="n">
        <v>4</v>
      </c>
      <c r="I42" s="16" t="n">
        <v>1250000</v>
      </c>
      <c r="J42" s="14" t="n">
        <v>5</v>
      </c>
      <c r="K42" s="16" t="n">
        <f aca="false">H42*I42*(1-J42/100)</f>
        <v>4750000</v>
      </c>
    </row>
    <row r="43" customFormat="false" ht="15" hidden="false" customHeight="false" outlineLevel="0" collapsed="false">
      <c r="A43" s="14" t="s">
        <v>102</v>
      </c>
      <c r="B43" s="15" t="n">
        <v>46038</v>
      </c>
      <c r="C43" s="14" t="s">
        <v>67</v>
      </c>
      <c r="D43" s="14" t="s">
        <v>103</v>
      </c>
      <c r="E43" s="14" t="s">
        <v>49</v>
      </c>
      <c r="F43" s="14" t="s">
        <v>40</v>
      </c>
      <c r="G43" s="14" t="s">
        <v>34</v>
      </c>
      <c r="H43" s="14" t="n">
        <v>7</v>
      </c>
      <c r="I43" s="16" t="n">
        <v>750000</v>
      </c>
      <c r="J43" s="14" t="n">
        <v>2</v>
      </c>
      <c r="K43" s="16" t="n">
        <f aca="false">H43*I43*(1-J43/100)</f>
        <v>5145000</v>
      </c>
    </row>
    <row r="44" customFormat="false" ht="15" hidden="false" customHeight="false" outlineLevel="0" collapsed="false">
      <c r="A44" s="14" t="s">
        <v>104</v>
      </c>
      <c r="B44" s="15" t="n">
        <v>46056</v>
      </c>
      <c r="C44" s="14" t="s">
        <v>47</v>
      </c>
      <c r="D44" s="14" t="s">
        <v>63</v>
      </c>
      <c r="E44" s="14" t="s">
        <v>22</v>
      </c>
      <c r="F44" s="14" t="s">
        <v>28</v>
      </c>
      <c r="G44" s="14" t="s">
        <v>34</v>
      </c>
      <c r="H44" s="14" t="n">
        <v>7</v>
      </c>
      <c r="I44" s="16" t="n">
        <v>750000</v>
      </c>
      <c r="J44" s="14" t="n">
        <v>10</v>
      </c>
      <c r="K44" s="16" t="n">
        <f aca="false">H44*I44*(1-J44/100)</f>
        <v>4725000</v>
      </c>
    </row>
    <row r="45" customFormat="false" ht="15" hidden="false" customHeight="false" outlineLevel="0" collapsed="false">
      <c r="A45" s="14" t="s">
        <v>105</v>
      </c>
      <c r="B45" s="15" t="n">
        <v>46221</v>
      </c>
      <c r="C45" s="14" t="s">
        <v>43</v>
      </c>
      <c r="D45" s="14" t="s">
        <v>100</v>
      </c>
      <c r="E45" s="14" t="s">
        <v>27</v>
      </c>
      <c r="F45" s="14" t="s">
        <v>50</v>
      </c>
      <c r="G45" s="14" t="s">
        <v>29</v>
      </c>
      <c r="H45" s="14" t="n">
        <v>10</v>
      </c>
      <c r="I45" s="16" t="n">
        <v>800000</v>
      </c>
      <c r="J45" s="14" t="n">
        <v>0</v>
      </c>
      <c r="K45" s="16" t="n">
        <f aca="false">H45*I45*(1-J45/100)</f>
        <v>8000000</v>
      </c>
    </row>
    <row r="46" customFormat="false" ht="15" hidden="false" customHeight="false" outlineLevel="0" collapsed="false">
      <c r="A46" s="14" t="s">
        <v>106</v>
      </c>
      <c r="B46" s="15" t="n">
        <v>46165</v>
      </c>
      <c r="C46" s="14" t="s">
        <v>60</v>
      </c>
      <c r="D46" s="14" t="s">
        <v>88</v>
      </c>
      <c r="E46" s="14" t="s">
        <v>33</v>
      </c>
      <c r="F46" s="14" t="s">
        <v>52</v>
      </c>
      <c r="G46" s="14" t="s">
        <v>41</v>
      </c>
      <c r="H46" s="14" t="n">
        <v>10</v>
      </c>
      <c r="I46" s="16" t="n">
        <v>1250000</v>
      </c>
      <c r="J46" s="14" t="n">
        <v>0</v>
      </c>
      <c r="K46" s="16" t="n">
        <f aca="false">H46*I46*(1-J46/100)</f>
        <v>12500000</v>
      </c>
    </row>
    <row r="47" customFormat="false" ht="15" hidden="false" customHeight="false" outlineLevel="0" collapsed="false">
      <c r="A47" s="14" t="s">
        <v>107</v>
      </c>
      <c r="B47" s="15" t="n">
        <v>46071</v>
      </c>
      <c r="C47" s="14" t="s">
        <v>36</v>
      </c>
      <c r="D47" s="14" t="s">
        <v>79</v>
      </c>
      <c r="E47" s="14" t="s">
        <v>22</v>
      </c>
      <c r="F47" s="14" t="s">
        <v>23</v>
      </c>
      <c r="G47" s="14" t="s">
        <v>34</v>
      </c>
      <c r="H47" s="14" t="n">
        <v>1</v>
      </c>
      <c r="I47" s="16" t="n">
        <v>450000</v>
      </c>
      <c r="J47" s="14" t="n">
        <v>2</v>
      </c>
      <c r="K47" s="16" t="n">
        <f aca="false">H47*I47*(1-J47/100)</f>
        <v>441000</v>
      </c>
    </row>
    <row r="48" customFormat="false" ht="15" hidden="false" customHeight="false" outlineLevel="0" collapsed="false">
      <c r="A48" s="14" t="s">
        <v>108</v>
      </c>
      <c r="B48" s="15" t="n">
        <v>46217</v>
      </c>
      <c r="C48" s="14" t="s">
        <v>20</v>
      </c>
      <c r="D48" s="14" t="s">
        <v>109</v>
      </c>
      <c r="E48" s="14" t="s">
        <v>27</v>
      </c>
      <c r="F48" s="14" t="s">
        <v>28</v>
      </c>
      <c r="G48" s="14" t="s">
        <v>41</v>
      </c>
      <c r="H48" s="14" t="n">
        <v>9</v>
      </c>
      <c r="I48" s="16" t="n">
        <v>900000</v>
      </c>
      <c r="J48" s="14" t="n">
        <v>0</v>
      </c>
      <c r="K48" s="16" t="n">
        <f aca="false">H48*I48*(1-J48/100)</f>
        <v>8100000</v>
      </c>
    </row>
    <row r="49" customFormat="false" ht="15" hidden="false" customHeight="false" outlineLevel="0" collapsed="false">
      <c r="A49" s="14" t="s">
        <v>110</v>
      </c>
      <c r="B49" s="15" t="n">
        <v>46074</v>
      </c>
      <c r="C49" s="14" t="s">
        <v>36</v>
      </c>
      <c r="D49" s="14" t="s">
        <v>111</v>
      </c>
      <c r="E49" s="14" t="s">
        <v>49</v>
      </c>
      <c r="F49" s="14" t="s">
        <v>28</v>
      </c>
      <c r="G49" s="14" t="s">
        <v>34</v>
      </c>
      <c r="H49" s="14" t="n">
        <v>10</v>
      </c>
      <c r="I49" s="16" t="n">
        <v>1150000</v>
      </c>
      <c r="J49" s="14" t="n">
        <v>10</v>
      </c>
      <c r="K49" s="16" t="n">
        <f aca="false">H49*I49*(1-J49/100)</f>
        <v>10350000</v>
      </c>
    </row>
    <row r="50" customFormat="false" ht="15" hidden="false" customHeight="false" outlineLevel="0" collapsed="false">
      <c r="A50" s="14" t="s">
        <v>112</v>
      </c>
      <c r="B50" s="15" t="n">
        <v>46152</v>
      </c>
      <c r="C50" s="14" t="s">
        <v>47</v>
      </c>
      <c r="D50" s="14" t="s">
        <v>63</v>
      </c>
      <c r="E50" s="14" t="s">
        <v>22</v>
      </c>
      <c r="F50" s="14" t="s">
        <v>28</v>
      </c>
      <c r="G50" s="14" t="s">
        <v>34</v>
      </c>
      <c r="H50" s="14" t="n">
        <v>13</v>
      </c>
      <c r="I50" s="16" t="n">
        <v>750000</v>
      </c>
      <c r="J50" s="14" t="n">
        <v>7</v>
      </c>
      <c r="K50" s="16" t="n">
        <f aca="false">H50*I50*(1-J50/100)</f>
        <v>9067500</v>
      </c>
    </row>
    <row r="51" customFormat="false" ht="15" hidden="false" customHeight="false" outlineLevel="0" collapsed="false">
      <c r="A51" s="14" t="s">
        <v>113</v>
      </c>
      <c r="B51" s="15" t="n">
        <v>46058</v>
      </c>
      <c r="C51" s="14" t="s">
        <v>67</v>
      </c>
      <c r="D51" s="14" t="s">
        <v>103</v>
      </c>
      <c r="E51" s="14" t="s">
        <v>49</v>
      </c>
      <c r="F51" s="14" t="s">
        <v>28</v>
      </c>
      <c r="G51" s="14" t="s">
        <v>29</v>
      </c>
      <c r="H51" s="14" t="n">
        <v>14</v>
      </c>
      <c r="I51" s="16" t="n">
        <v>750000</v>
      </c>
      <c r="J51" s="14" t="n">
        <v>7</v>
      </c>
      <c r="K51" s="16" t="n">
        <f aca="false">H51*I51*(1-J51/100)</f>
        <v>9765000</v>
      </c>
    </row>
    <row r="52" customFormat="false" ht="15" hidden="false" customHeight="false" outlineLevel="0" collapsed="false">
      <c r="A52" s="14" t="s">
        <v>114</v>
      </c>
      <c r="B52" s="15" t="n">
        <v>46132</v>
      </c>
      <c r="C52" s="14" t="s">
        <v>31</v>
      </c>
      <c r="D52" s="14" t="s">
        <v>32</v>
      </c>
      <c r="E52" s="14" t="s">
        <v>22</v>
      </c>
      <c r="F52" s="14" t="s">
        <v>50</v>
      </c>
      <c r="G52" s="14" t="s">
        <v>58</v>
      </c>
      <c r="H52" s="14" t="n">
        <v>2</v>
      </c>
      <c r="I52" s="16" t="n">
        <v>1600000</v>
      </c>
      <c r="J52" s="14" t="n">
        <v>2</v>
      </c>
      <c r="K52" s="16" t="n">
        <f aca="false">H52*I52*(1-J52/100)</f>
        <v>3136000</v>
      </c>
    </row>
    <row r="53" customFormat="false" ht="15" hidden="false" customHeight="false" outlineLevel="0" collapsed="false">
      <c r="A53" s="14" t="s">
        <v>115</v>
      </c>
      <c r="B53" s="15" t="n">
        <v>46059</v>
      </c>
      <c r="C53" s="14" t="s">
        <v>36</v>
      </c>
      <c r="D53" s="14" t="s">
        <v>37</v>
      </c>
      <c r="E53" s="14" t="s">
        <v>49</v>
      </c>
      <c r="F53" s="14" t="s">
        <v>23</v>
      </c>
      <c r="G53" s="14" t="s">
        <v>29</v>
      </c>
      <c r="H53" s="14" t="n">
        <v>12</v>
      </c>
      <c r="I53" s="16" t="n">
        <v>700000</v>
      </c>
      <c r="J53" s="14" t="n">
        <v>5</v>
      </c>
      <c r="K53" s="16" t="n">
        <f aca="false">H53*I53*(1-J53/100)</f>
        <v>7980000</v>
      </c>
    </row>
    <row r="54" customFormat="false" ht="15" hidden="false" customHeight="false" outlineLevel="0" collapsed="false">
      <c r="A54" s="14" t="s">
        <v>116</v>
      </c>
      <c r="B54" s="15" t="n">
        <v>46064</v>
      </c>
      <c r="C54" s="14" t="s">
        <v>20</v>
      </c>
      <c r="D54" s="14" t="s">
        <v>21</v>
      </c>
      <c r="E54" s="14" t="s">
        <v>22</v>
      </c>
      <c r="F54" s="14" t="s">
        <v>52</v>
      </c>
      <c r="G54" s="14" t="s">
        <v>24</v>
      </c>
      <c r="H54" s="14" t="n">
        <v>7</v>
      </c>
      <c r="I54" s="16" t="n">
        <v>700000</v>
      </c>
      <c r="J54" s="14" t="n">
        <v>7</v>
      </c>
      <c r="K54" s="16" t="n">
        <f aca="false">H54*I54*(1-J54/100)</f>
        <v>4557000</v>
      </c>
    </row>
    <row r="55" customFormat="false" ht="15" hidden="false" customHeight="false" outlineLevel="0" collapsed="false">
      <c r="A55" s="14" t="s">
        <v>117</v>
      </c>
      <c r="B55" s="15" t="n">
        <v>46130</v>
      </c>
      <c r="C55" s="14" t="s">
        <v>47</v>
      </c>
      <c r="D55" s="14" t="s">
        <v>118</v>
      </c>
      <c r="E55" s="14" t="s">
        <v>27</v>
      </c>
      <c r="F55" s="14" t="s">
        <v>50</v>
      </c>
      <c r="G55" s="14" t="s">
        <v>34</v>
      </c>
      <c r="H55" s="14" t="n">
        <v>7</v>
      </c>
      <c r="I55" s="16" t="n">
        <v>4000000</v>
      </c>
      <c r="J55" s="14" t="n">
        <v>5</v>
      </c>
      <c r="K55" s="16" t="n">
        <f aca="false">H55*I55*(1-J55/100)</f>
        <v>26600000</v>
      </c>
    </row>
    <row r="56" customFormat="false" ht="15" hidden="false" customHeight="false" outlineLevel="0" collapsed="false">
      <c r="A56" s="14" t="s">
        <v>119</v>
      </c>
      <c r="B56" s="15" t="n">
        <v>46164</v>
      </c>
      <c r="C56" s="14" t="s">
        <v>67</v>
      </c>
      <c r="D56" s="14" t="s">
        <v>94</v>
      </c>
      <c r="E56" s="14" t="s">
        <v>49</v>
      </c>
      <c r="F56" s="14" t="s">
        <v>23</v>
      </c>
      <c r="G56" s="14" t="s">
        <v>58</v>
      </c>
      <c r="H56" s="14" t="n">
        <v>1</v>
      </c>
      <c r="I56" s="16" t="n">
        <v>900000</v>
      </c>
      <c r="J56" s="14" t="n">
        <v>5</v>
      </c>
      <c r="K56" s="16" t="n">
        <f aca="false">H56*I56*(1-J56/100)</f>
        <v>855000</v>
      </c>
    </row>
    <row r="57" customFormat="false" ht="15" hidden="false" customHeight="false" outlineLevel="0" collapsed="false">
      <c r="A57" s="14" t="s">
        <v>120</v>
      </c>
      <c r="B57" s="15" t="n">
        <v>46098</v>
      </c>
      <c r="C57" s="14" t="s">
        <v>31</v>
      </c>
      <c r="D57" s="14" t="s">
        <v>121</v>
      </c>
      <c r="E57" s="14" t="s">
        <v>27</v>
      </c>
      <c r="F57" s="14" t="s">
        <v>50</v>
      </c>
      <c r="G57" s="14" t="s">
        <v>58</v>
      </c>
      <c r="H57" s="14" t="n">
        <v>9</v>
      </c>
      <c r="I57" s="16" t="n">
        <v>950000</v>
      </c>
      <c r="J57" s="14" t="n">
        <v>10</v>
      </c>
      <c r="K57" s="16" t="n">
        <f aca="false">H57*I57*(1-J57/100)</f>
        <v>7695000</v>
      </c>
    </row>
    <row r="58" customFormat="false" ht="15" hidden="false" customHeight="false" outlineLevel="0" collapsed="false">
      <c r="A58" s="14" t="s">
        <v>122</v>
      </c>
      <c r="B58" s="15" t="n">
        <v>46092</v>
      </c>
      <c r="C58" s="14" t="s">
        <v>43</v>
      </c>
      <c r="D58" s="14" t="s">
        <v>123</v>
      </c>
      <c r="E58" s="14" t="s">
        <v>27</v>
      </c>
      <c r="F58" s="14" t="s">
        <v>52</v>
      </c>
      <c r="G58" s="14" t="s">
        <v>24</v>
      </c>
      <c r="H58" s="14" t="n">
        <v>2</v>
      </c>
      <c r="I58" s="16" t="n">
        <v>1150000</v>
      </c>
      <c r="J58" s="14" t="n">
        <v>5</v>
      </c>
      <c r="K58" s="16" t="n">
        <f aca="false">H58*I58*(1-J58/100)</f>
        <v>2185000</v>
      </c>
    </row>
    <row r="59" customFormat="false" ht="15" hidden="false" customHeight="false" outlineLevel="0" collapsed="false">
      <c r="A59" s="14" t="s">
        <v>124</v>
      </c>
      <c r="B59" s="15" t="n">
        <v>46126</v>
      </c>
      <c r="C59" s="14" t="s">
        <v>36</v>
      </c>
      <c r="D59" s="14" t="s">
        <v>37</v>
      </c>
      <c r="E59" s="14" t="s">
        <v>49</v>
      </c>
      <c r="F59" s="14" t="s">
        <v>52</v>
      </c>
      <c r="G59" s="14" t="s">
        <v>41</v>
      </c>
      <c r="H59" s="14" t="n">
        <v>14</v>
      </c>
      <c r="I59" s="16" t="n">
        <v>700000</v>
      </c>
      <c r="J59" s="14" t="n">
        <v>5</v>
      </c>
      <c r="K59" s="16" t="n">
        <f aca="false">H59*I59*(1-J59/100)</f>
        <v>9310000</v>
      </c>
    </row>
    <row r="60" customFormat="false" ht="15" hidden="false" customHeight="false" outlineLevel="0" collapsed="false">
      <c r="A60" s="14" t="s">
        <v>125</v>
      </c>
      <c r="B60" s="15" t="n">
        <v>46227</v>
      </c>
      <c r="C60" s="14" t="s">
        <v>67</v>
      </c>
      <c r="D60" s="14" t="s">
        <v>103</v>
      </c>
      <c r="E60" s="14" t="s">
        <v>22</v>
      </c>
      <c r="F60" s="14" t="s">
        <v>40</v>
      </c>
      <c r="G60" s="14" t="s">
        <v>24</v>
      </c>
      <c r="H60" s="14" t="n">
        <v>5</v>
      </c>
      <c r="I60" s="16" t="n">
        <v>750000</v>
      </c>
      <c r="J60" s="14" t="n">
        <v>0</v>
      </c>
      <c r="K60" s="16" t="n">
        <f aca="false">H60*I60*(1-J60/100)</f>
        <v>3750000</v>
      </c>
    </row>
    <row r="61" customFormat="false" ht="15" hidden="false" customHeight="false" outlineLevel="0" collapsed="false">
      <c r="A61" s="14" t="s">
        <v>126</v>
      </c>
      <c r="B61" s="15" t="n">
        <v>46228</v>
      </c>
      <c r="C61" s="14" t="s">
        <v>47</v>
      </c>
      <c r="D61" s="14" t="s">
        <v>118</v>
      </c>
      <c r="E61" s="14" t="s">
        <v>33</v>
      </c>
      <c r="F61" s="14" t="s">
        <v>23</v>
      </c>
      <c r="G61" s="14" t="s">
        <v>58</v>
      </c>
      <c r="H61" s="14" t="n">
        <v>1</v>
      </c>
      <c r="I61" s="16" t="n">
        <v>4000000</v>
      </c>
      <c r="J61" s="14" t="n">
        <v>0</v>
      </c>
      <c r="K61" s="16" t="n">
        <f aca="false">H61*I61*(1-J61/100)</f>
        <v>4000000</v>
      </c>
    </row>
    <row r="62" customFormat="false" ht="15" hidden="false" customHeight="false" outlineLevel="0" collapsed="false">
      <c r="A62" s="14" t="s">
        <v>127</v>
      </c>
      <c r="B62" s="15" t="n">
        <v>46139</v>
      </c>
      <c r="C62" s="14" t="s">
        <v>20</v>
      </c>
      <c r="D62" s="14" t="s">
        <v>109</v>
      </c>
      <c r="E62" s="14" t="s">
        <v>33</v>
      </c>
      <c r="F62" s="14" t="s">
        <v>23</v>
      </c>
      <c r="G62" s="14" t="s">
        <v>58</v>
      </c>
      <c r="H62" s="14" t="n">
        <v>14</v>
      </c>
      <c r="I62" s="16" t="n">
        <v>900000</v>
      </c>
      <c r="J62" s="14" t="n">
        <v>0</v>
      </c>
      <c r="K62" s="16" t="n">
        <f aca="false">H62*I62*(1-J62/100)</f>
        <v>12600000</v>
      </c>
    </row>
    <row r="63" customFormat="false" ht="15" hidden="false" customHeight="false" outlineLevel="0" collapsed="false">
      <c r="A63" s="14" t="s">
        <v>128</v>
      </c>
      <c r="B63" s="15" t="n">
        <v>46157</v>
      </c>
      <c r="C63" s="14" t="s">
        <v>36</v>
      </c>
      <c r="D63" s="14" t="s">
        <v>79</v>
      </c>
      <c r="E63" s="14" t="s">
        <v>22</v>
      </c>
      <c r="F63" s="14" t="s">
        <v>40</v>
      </c>
      <c r="G63" s="14" t="s">
        <v>34</v>
      </c>
      <c r="H63" s="14" t="n">
        <v>3</v>
      </c>
      <c r="I63" s="16" t="n">
        <v>450000</v>
      </c>
      <c r="J63" s="14" t="n">
        <v>0</v>
      </c>
      <c r="K63" s="16" t="n">
        <f aca="false">H63*I63*(1-J63/100)</f>
        <v>1350000</v>
      </c>
    </row>
    <row r="64" customFormat="false" ht="15" hidden="false" customHeight="false" outlineLevel="0" collapsed="false">
      <c r="A64" s="14" t="s">
        <v>129</v>
      </c>
      <c r="B64" s="15" t="n">
        <v>46074</v>
      </c>
      <c r="C64" s="14" t="s">
        <v>47</v>
      </c>
      <c r="D64" s="14" t="s">
        <v>118</v>
      </c>
      <c r="E64" s="14" t="s">
        <v>27</v>
      </c>
      <c r="F64" s="14" t="s">
        <v>52</v>
      </c>
      <c r="G64" s="14" t="s">
        <v>58</v>
      </c>
      <c r="H64" s="14" t="n">
        <v>1</v>
      </c>
      <c r="I64" s="16" t="n">
        <v>4000000</v>
      </c>
      <c r="J64" s="14" t="n">
        <v>2</v>
      </c>
      <c r="K64" s="16" t="n">
        <f aca="false">H64*I64*(1-J64/100)</f>
        <v>3920000</v>
      </c>
    </row>
    <row r="65" customFormat="false" ht="15" hidden="false" customHeight="false" outlineLevel="0" collapsed="false">
      <c r="A65" s="14" t="s">
        <v>130</v>
      </c>
      <c r="B65" s="15" t="n">
        <v>46092</v>
      </c>
      <c r="C65" s="14" t="s">
        <v>20</v>
      </c>
      <c r="D65" s="14" t="s">
        <v>131</v>
      </c>
      <c r="E65" s="14" t="s">
        <v>33</v>
      </c>
      <c r="F65" s="14" t="s">
        <v>40</v>
      </c>
      <c r="G65" s="14" t="s">
        <v>41</v>
      </c>
      <c r="H65" s="14" t="n">
        <v>9</v>
      </c>
      <c r="I65" s="16" t="n">
        <v>1650000</v>
      </c>
      <c r="J65" s="14" t="n">
        <v>2</v>
      </c>
      <c r="K65" s="16" t="n">
        <f aca="false">H65*I65*(1-J65/100)</f>
        <v>14553000</v>
      </c>
    </row>
    <row r="66" customFormat="false" ht="15" hidden="false" customHeight="false" outlineLevel="0" collapsed="false">
      <c r="A66" s="14" t="s">
        <v>132</v>
      </c>
      <c r="B66" s="15" t="n">
        <v>46164</v>
      </c>
      <c r="C66" s="14" t="s">
        <v>20</v>
      </c>
      <c r="D66" s="14" t="s">
        <v>109</v>
      </c>
      <c r="E66" s="14" t="s">
        <v>49</v>
      </c>
      <c r="F66" s="14" t="s">
        <v>23</v>
      </c>
      <c r="G66" s="14" t="s">
        <v>24</v>
      </c>
      <c r="H66" s="14" t="n">
        <v>1</v>
      </c>
      <c r="I66" s="16" t="n">
        <v>900000</v>
      </c>
      <c r="J66" s="14" t="n">
        <v>10</v>
      </c>
      <c r="K66" s="16" t="n">
        <f aca="false">H66*I66*(1-J66/100)</f>
        <v>810000</v>
      </c>
    </row>
    <row r="67" customFormat="false" ht="15" hidden="false" customHeight="false" outlineLevel="0" collapsed="false">
      <c r="A67" s="14" t="s">
        <v>133</v>
      </c>
      <c r="B67" s="15" t="n">
        <v>46191</v>
      </c>
      <c r="C67" s="14" t="s">
        <v>67</v>
      </c>
      <c r="D67" s="14" t="s">
        <v>103</v>
      </c>
      <c r="E67" s="14" t="s">
        <v>22</v>
      </c>
      <c r="F67" s="14" t="s">
        <v>52</v>
      </c>
      <c r="G67" s="14" t="s">
        <v>41</v>
      </c>
      <c r="H67" s="14" t="n">
        <v>2</v>
      </c>
      <c r="I67" s="16" t="n">
        <v>750000</v>
      </c>
      <c r="J67" s="14" t="n">
        <v>7</v>
      </c>
      <c r="K67" s="16" t="n">
        <f aca="false">H67*I67*(1-J67/100)</f>
        <v>1395000</v>
      </c>
    </row>
    <row r="68" customFormat="false" ht="15" hidden="false" customHeight="false" outlineLevel="0" collapsed="false">
      <c r="A68" s="14" t="s">
        <v>134</v>
      </c>
      <c r="B68" s="15" t="n">
        <v>46081</v>
      </c>
      <c r="C68" s="14" t="s">
        <v>31</v>
      </c>
      <c r="D68" s="14" t="s">
        <v>70</v>
      </c>
      <c r="E68" s="14" t="s">
        <v>22</v>
      </c>
      <c r="F68" s="14" t="s">
        <v>28</v>
      </c>
      <c r="G68" s="14" t="s">
        <v>58</v>
      </c>
      <c r="H68" s="14" t="n">
        <v>12</v>
      </c>
      <c r="I68" s="16" t="n">
        <v>950000</v>
      </c>
      <c r="J68" s="14" t="n">
        <v>2</v>
      </c>
      <c r="K68" s="16" t="n">
        <f aca="false">H68*I68*(1-J68/100)</f>
        <v>11172000</v>
      </c>
    </row>
    <row r="69" customFormat="false" ht="15" hidden="false" customHeight="false" outlineLevel="0" collapsed="false">
      <c r="A69" s="14" t="s">
        <v>135</v>
      </c>
      <c r="B69" s="15" t="n">
        <v>46026</v>
      </c>
      <c r="C69" s="14" t="s">
        <v>20</v>
      </c>
      <c r="D69" s="14" t="s">
        <v>21</v>
      </c>
      <c r="E69" s="14" t="s">
        <v>33</v>
      </c>
      <c r="F69" s="14" t="s">
        <v>50</v>
      </c>
      <c r="G69" s="14" t="s">
        <v>58</v>
      </c>
      <c r="H69" s="14" t="n">
        <v>1</v>
      </c>
      <c r="I69" s="16" t="n">
        <v>700000</v>
      </c>
      <c r="J69" s="14" t="n">
        <v>2</v>
      </c>
      <c r="K69" s="16" t="n">
        <f aca="false">H69*I69*(1-J69/100)</f>
        <v>686000</v>
      </c>
    </row>
    <row r="70" customFormat="false" ht="15" hidden="false" customHeight="false" outlineLevel="0" collapsed="false">
      <c r="A70" s="14" t="s">
        <v>136</v>
      </c>
      <c r="B70" s="15" t="n">
        <v>46152</v>
      </c>
      <c r="C70" s="14" t="s">
        <v>36</v>
      </c>
      <c r="D70" s="14" t="s">
        <v>79</v>
      </c>
      <c r="E70" s="14" t="s">
        <v>22</v>
      </c>
      <c r="F70" s="14" t="s">
        <v>52</v>
      </c>
      <c r="G70" s="14" t="s">
        <v>24</v>
      </c>
      <c r="H70" s="14" t="n">
        <v>2</v>
      </c>
      <c r="I70" s="16" t="n">
        <v>450000</v>
      </c>
      <c r="J70" s="14" t="n">
        <v>7</v>
      </c>
      <c r="K70" s="16" t="n">
        <f aca="false">H70*I70*(1-J70/100)</f>
        <v>837000</v>
      </c>
    </row>
    <row r="71" customFormat="false" ht="15" hidden="false" customHeight="false" outlineLevel="0" collapsed="false">
      <c r="A71" s="14" t="s">
        <v>137</v>
      </c>
      <c r="B71" s="15" t="n">
        <v>46063</v>
      </c>
      <c r="C71" s="14" t="s">
        <v>47</v>
      </c>
      <c r="D71" s="14" t="s">
        <v>63</v>
      </c>
      <c r="E71" s="14" t="s">
        <v>33</v>
      </c>
      <c r="F71" s="14" t="s">
        <v>40</v>
      </c>
      <c r="G71" s="14" t="s">
        <v>24</v>
      </c>
      <c r="H71" s="14" t="n">
        <v>8</v>
      </c>
      <c r="I71" s="16" t="n">
        <v>750000</v>
      </c>
      <c r="J71" s="14" t="n">
        <v>2</v>
      </c>
      <c r="K71" s="16" t="n">
        <f aca="false">H71*I71*(1-J71/100)</f>
        <v>5880000</v>
      </c>
    </row>
    <row r="72" customFormat="false" ht="15" hidden="false" customHeight="false" outlineLevel="0" collapsed="false">
      <c r="A72" s="14" t="s">
        <v>138</v>
      </c>
      <c r="B72" s="15" t="n">
        <v>46105</v>
      </c>
      <c r="C72" s="14" t="s">
        <v>20</v>
      </c>
      <c r="D72" s="14" t="s">
        <v>139</v>
      </c>
      <c r="E72" s="14" t="s">
        <v>27</v>
      </c>
      <c r="F72" s="14" t="s">
        <v>40</v>
      </c>
      <c r="G72" s="14" t="s">
        <v>58</v>
      </c>
      <c r="H72" s="14" t="n">
        <v>6</v>
      </c>
      <c r="I72" s="16" t="n">
        <v>750000</v>
      </c>
      <c r="J72" s="14" t="n">
        <v>10</v>
      </c>
      <c r="K72" s="16" t="n">
        <f aca="false">H72*I72*(1-J72/100)</f>
        <v>4050000</v>
      </c>
    </row>
    <row r="73" customFormat="false" ht="15" hidden="false" customHeight="false" outlineLevel="0" collapsed="false">
      <c r="A73" s="14" t="s">
        <v>140</v>
      </c>
      <c r="B73" s="15" t="n">
        <v>46108</v>
      </c>
      <c r="C73" s="14" t="s">
        <v>67</v>
      </c>
      <c r="D73" s="14" t="s">
        <v>72</v>
      </c>
      <c r="E73" s="14" t="s">
        <v>49</v>
      </c>
      <c r="F73" s="14" t="s">
        <v>52</v>
      </c>
      <c r="G73" s="14" t="s">
        <v>58</v>
      </c>
      <c r="H73" s="14" t="n">
        <v>3</v>
      </c>
      <c r="I73" s="16" t="n">
        <v>1150000</v>
      </c>
      <c r="J73" s="14" t="n">
        <v>0</v>
      </c>
      <c r="K73" s="16" t="n">
        <f aca="false">H73*I73*(1-J73/100)</f>
        <v>3450000</v>
      </c>
    </row>
    <row r="74" customFormat="false" ht="15" hidden="false" customHeight="false" outlineLevel="0" collapsed="false">
      <c r="A74" s="14" t="s">
        <v>141</v>
      </c>
      <c r="B74" s="15" t="n">
        <v>46086</v>
      </c>
      <c r="C74" s="14" t="s">
        <v>31</v>
      </c>
      <c r="D74" s="14" t="s">
        <v>32</v>
      </c>
      <c r="E74" s="14" t="s">
        <v>22</v>
      </c>
      <c r="F74" s="14" t="s">
        <v>40</v>
      </c>
      <c r="G74" s="14" t="s">
        <v>34</v>
      </c>
      <c r="H74" s="14" t="n">
        <v>11</v>
      </c>
      <c r="I74" s="16" t="n">
        <v>1600000</v>
      </c>
      <c r="J74" s="14" t="n">
        <v>2</v>
      </c>
      <c r="K74" s="16" t="n">
        <f aca="false">H74*I74*(1-J74/100)</f>
        <v>17248000</v>
      </c>
    </row>
    <row r="75" customFormat="false" ht="15" hidden="false" customHeight="false" outlineLevel="0" collapsed="false">
      <c r="A75" s="14" t="s">
        <v>142</v>
      </c>
      <c r="B75" s="15" t="n">
        <v>46173</v>
      </c>
      <c r="C75" s="14" t="s">
        <v>43</v>
      </c>
      <c r="D75" s="14" t="s">
        <v>123</v>
      </c>
      <c r="E75" s="14" t="s">
        <v>27</v>
      </c>
      <c r="F75" s="14" t="s">
        <v>40</v>
      </c>
      <c r="G75" s="14" t="s">
        <v>24</v>
      </c>
      <c r="H75" s="14" t="n">
        <v>3</v>
      </c>
      <c r="I75" s="16" t="n">
        <v>1150000</v>
      </c>
      <c r="J75" s="14" t="n">
        <v>7</v>
      </c>
      <c r="K75" s="16" t="n">
        <f aca="false">H75*I75*(1-J75/100)</f>
        <v>3208500</v>
      </c>
    </row>
    <row r="76" customFormat="false" ht="15" hidden="false" customHeight="false" outlineLevel="0" collapsed="false">
      <c r="A76" s="14" t="s">
        <v>143</v>
      </c>
      <c r="B76" s="15" t="n">
        <v>46044</v>
      </c>
      <c r="C76" s="14" t="s">
        <v>36</v>
      </c>
      <c r="D76" s="14" t="s">
        <v>111</v>
      </c>
      <c r="E76" s="14" t="s">
        <v>27</v>
      </c>
      <c r="F76" s="14" t="s">
        <v>40</v>
      </c>
      <c r="G76" s="14" t="s">
        <v>58</v>
      </c>
      <c r="H76" s="14" t="n">
        <v>11</v>
      </c>
      <c r="I76" s="16" t="n">
        <v>1150000</v>
      </c>
      <c r="J76" s="14" t="n">
        <v>2</v>
      </c>
      <c r="K76" s="16" t="n">
        <f aca="false">H76*I76*(1-J76/100)</f>
        <v>12397000</v>
      </c>
    </row>
    <row r="77" customFormat="false" ht="15" hidden="false" customHeight="false" outlineLevel="0" collapsed="false">
      <c r="A77" s="14" t="s">
        <v>144</v>
      </c>
      <c r="B77" s="15" t="n">
        <v>46208</v>
      </c>
      <c r="C77" s="14" t="s">
        <v>43</v>
      </c>
      <c r="D77" s="14" t="s">
        <v>100</v>
      </c>
      <c r="E77" s="14" t="s">
        <v>22</v>
      </c>
      <c r="F77" s="14" t="s">
        <v>40</v>
      </c>
      <c r="G77" s="14" t="s">
        <v>41</v>
      </c>
      <c r="H77" s="14" t="n">
        <v>3</v>
      </c>
      <c r="I77" s="16" t="n">
        <v>800000</v>
      </c>
      <c r="J77" s="14" t="n">
        <v>5</v>
      </c>
      <c r="K77" s="16" t="n">
        <f aca="false">H77*I77*(1-J77/100)</f>
        <v>2280000</v>
      </c>
    </row>
    <row r="78" customFormat="false" ht="15" hidden="false" customHeight="false" outlineLevel="0" collapsed="false">
      <c r="A78" s="14" t="s">
        <v>145</v>
      </c>
      <c r="B78" s="15" t="n">
        <v>46058</v>
      </c>
      <c r="C78" s="14" t="s">
        <v>43</v>
      </c>
      <c r="D78" s="14" t="s">
        <v>100</v>
      </c>
      <c r="E78" s="14" t="s">
        <v>27</v>
      </c>
      <c r="F78" s="14" t="s">
        <v>28</v>
      </c>
      <c r="G78" s="14" t="s">
        <v>41</v>
      </c>
      <c r="H78" s="14" t="n">
        <v>12</v>
      </c>
      <c r="I78" s="16" t="n">
        <v>800000</v>
      </c>
      <c r="J78" s="14" t="n">
        <v>10</v>
      </c>
      <c r="K78" s="16" t="n">
        <f aca="false">H78*I78*(1-J78/100)</f>
        <v>8640000</v>
      </c>
    </row>
    <row r="79" customFormat="false" ht="15" hidden="false" customHeight="false" outlineLevel="0" collapsed="false">
      <c r="A79" s="14" t="s">
        <v>146</v>
      </c>
      <c r="B79" s="15" t="n">
        <v>46186</v>
      </c>
      <c r="C79" s="14" t="s">
        <v>43</v>
      </c>
      <c r="D79" s="14" t="s">
        <v>123</v>
      </c>
      <c r="E79" s="14" t="s">
        <v>33</v>
      </c>
      <c r="F79" s="14" t="s">
        <v>23</v>
      </c>
      <c r="G79" s="14" t="s">
        <v>24</v>
      </c>
      <c r="H79" s="14" t="n">
        <v>1</v>
      </c>
      <c r="I79" s="16" t="n">
        <v>1150000</v>
      </c>
      <c r="J79" s="14" t="n">
        <v>2</v>
      </c>
      <c r="K79" s="16" t="n">
        <f aca="false">H79*I79*(1-J79/100)</f>
        <v>1127000</v>
      </c>
    </row>
    <row r="80" customFormat="false" ht="15" hidden="false" customHeight="false" outlineLevel="0" collapsed="false">
      <c r="A80" s="14" t="s">
        <v>147</v>
      </c>
      <c r="B80" s="15" t="n">
        <v>46183</v>
      </c>
      <c r="C80" s="14" t="s">
        <v>20</v>
      </c>
      <c r="D80" s="14" t="s">
        <v>109</v>
      </c>
      <c r="E80" s="14" t="s">
        <v>22</v>
      </c>
      <c r="F80" s="14" t="s">
        <v>50</v>
      </c>
      <c r="G80" s="14" t="s">
        <v>34</v>
      </c>
      <c r="H80" s="14" t="n">
        <v>1</v>
      </c>
      <c r="I80" s="16" t="n">
        <v>900000</v>
      </c>
      <c r="J80" s="14" t="n">
        <v>0</v>
      </c>
      <c r="K80" s="16" t="n">
        <f aca="false">H80*I80*(1-J80/100)</f>
        <v>900000</v>
      </c>
    </row>
    <row r="81" customFormat="false" ht="15" hidden="false" customHeight="false" outlineLevel="0" collapsed="false">
      <c r="A81" s="14" t="s">
        <v>148</v>
      </c>
      <c r="B81" s="15" t="n">
        <v>46214</v>
      </c>
      <c r="C81" s="14" t="s">
        <v>43</v>
      </c>
      <c r="D81" s="14" t="s">
        <v>100</v>
      </c>
      <c r="E81" s="14" t="s">
        <v>22</v>
      </c>
      <c r="F81" s="14" t="s">
        <v>40</v>
      </c>
      <c r="G81" s="14" t="s">
        <v>24</v>
      </c>
      <c r="H81" s="14" t="n">
        <v>8</v>
      </c>
      <c r="I81" s="16" t="n">
        <v>800000</v>
      </c>
      <c r="J81" s="14" t="n">
        <v>0</v>
      </c>
      <c r="K81" s="16" t="n">
        <f aca="false">H81*I81*(1-J81/100)</f>
        <v>6400000</v>
      </c>
    </row>
    <row r="82" customFormat="false" ht="15" hidden="false" customHeight="false" outlineLevel="0" collapsed="false">
      <c r="A82" s="14" t="s">
        <v>149</v>
      </c>
      <c r="B82" s="15" t="n">
        <v>46090</v>
      </c>
      <c r="C82" s="14" t="s">
        <v>43</v>
      </c>
      <c r="D82" s="14" t="s">
        <v>123</v>
      </c>
      <c r="E82" s="14" t="s">
        <v>27</v>
      </c>
      <c r="F82" s="14" t="s">
        <v>50</v>
      </c>
      <c r="G82" s="14" t="s">
        <v>58</v>
      </c>
      <c r="H82" s="14" t="n">
        <v>13</v>
      </c>
      <c r="I82" s="16" t="n">
        <v>1150000</v>
      </c>
      <c r="J82" s="14" t="n">
        <v>0</v>
      </c>
      <c r="K82" s="16" t="n">
        <f aca="false">H82*I82*(1-J82/100)</f>
        <v>14950000</v>
      </c>
    </row>
    <row r="83" customFormat="false" ht="15" hidden="false" customHeight="false" outlineLevel="0" collapsed="false">
      <c r="A83" s="14" t="s">
        <v>150</v>
      </c>
      <c r="B83" s="15" t="n">
        <v>46042</v>
      </c>
      <c r="C83" s="14" t="s">
        <v>67</v>
      </c>
      <c r="D83" s="14" t="s">
        <v>151</v>
      </c>
      <c r="E83" s="14" t="s">
        <v>33</v>
      </c>
      <c r="F83" s="14" t="s">
        <v>50</v>
      </c>
      <c r="G83" s="14" t="s">
        <v>41</v>
      </c>
      <c r="H83" s="14" t="n">
        <v>14</v>
      </c>
      <c r="I83" s="16" t="n">
        <v>750000</v>
      </c>
      <c r="J83" s="14" t="n">
        <v>7</v>
      </c>
      <c r="K83" s="16" t="n">
        <f aca="false">H83*I83*(1-J83/100)</f>
        <v>9765000</v>
      </c>
    </row>
    <row r="84" customFormat="false" ht="15" hidden="false" customHeight="false" outlineLevel="0" collapsed="false">
      <c r="A84" s="14" t="s">
        <v>152</v>
      </c>
      <c r="B84" s="15" t="n">
        <v>46060</v>
      </c>
      <c r="C84" s="14" t="s">
        <v>31</v>
      </c>
      <c r="D84" s="14" t="s">
        <v>54</v>
      </c>
      <c r="E84" s="14" t="s">
        <v>27</v>
      </c>
      <c r="F84" s="14" t="s">
        <v>28</v>
      </c>
      <c r="G84" s="14" t="s">
        <v>29</v>
      </c>
      <c r="H84" s="14" t="n">
        <v>2</v>
      </c>
      <c r="I84" s="16" t="n">
        <v>1300000</v>
      </c>
      <c r="J84" s="14" t="n">
        <v>10</v>
      </c>
      <c r="K84" s="16" t="n">
        <f aca="false">H84*I84*(1-J84/100)</f>
        <v>2340000</v>
      </c>
    </row>
    <row r="85" customFormat="false" ht="15" hidden="false" customHeight="false" outlineLevel="0" collapsed="false">
      <c r="A85" s="14" t="s">
        <v>153</v>
      </c>
      <c r="B85" s="15" t="n">
        <v>46146</v>
      </c>
      <c r="C85" s="14" t="s">
        <v>20</v>
      </c>
      <c r="D85" s="14" t="s">
        <v>131</v>
      </c>
      <c r="E85" s="14" t="s">
        <v>49</v>
      </c>
      <c r="F85" s="14" t="s">
        <v>28</v>
      </c>
      <c r="G85" s="14" t="s">
        <v>34</v>
      </c>
      <c r="H85" s="14" t="n">
        <v>3</v>
      </c>
      <c r="I85" s="16" t="n">
        <v>1650000</v>
      </c>
      <c r="J85" s="14" t="n">
        <v>0</v>
      </c>
      <c r="K85" s="16" t="n">
        <f aca="false">H85*I85*(1-J85/100)</f>
        <v>4950000</v>
      </c>
    </row>
    <row r="86" customFormat="false" ht="15" hidden="false" customHeight="false" outlineLevel="0" collapsed="false">
      <c r="A86" s="14" t="s">
        <v>154</v>
      </c>
      <c r="B86" s="15" t="n">
        <v>46097</v>
      </c>
      <c r="C86" s="14" t="s">
        <v>36</v>
      </c>
      <c r="D86" s="14" t="s">
        <v>111</v>
      </c>
      <c r="E86" s="14" t="s">
        <v>49</v>
      </c>
      <c r="F86" s="14" t="s">
        <v>23</v>
      </c>
      <c r="G86" s="14" t="s">
        <v>29</v>
      </c>
      <c r="H86" s="14" t="n">
        <v>11</v>
      </c>
      <c r="I86" s="16" t="n">
        <v>1150000</v>
      </c>
      <c r="J86" s="14" t="n">
        <v>7</v>
      </c>
      <c r="K86" s="16" t="n">
        <f aca="false">H86*I86*(1-J86/100)</f>
        <v>11764500</v>
      </c>
    </row>
    <row r="87" customFormat="false" ht="15" hidden="false" customHeight="false" outlineLevel="0" collapsed="false">
      <c r="A87" s="14" t="s">
        <v>155</v>
      </c>
      <c r="B87" s="15" t="n">
        <v>46163</v>
      </c>
      <c r="C87" s="14" t="s">
        <v>47</v>
      </c>
      <c r="D87" s="14" t="s">
        <v>63</v>
      </c>
      <c r="E87" s="14" t="s">
        <v>22</v>
      </c>
      <c r="F87" s="14" t="s">
        <v>50</v>
      </c>
      <c r="G87" s="14" t="s">
        <v>41</v>
      </c>
      <c r="H87" s="14" t="n">
        <v>13</v>
      </c>
      <c r="I87" s="16" t="n">
        <v>750000</v>
      </c>
      <c r="J87" s="14" t="n">
        <v>0</v>
      </c>
      <c r="K87" s="16" t="n">
        <f aca="false">H87*I87*(1-J87/100)</f>
        <v>9750000</v>
      </c>
    </row>
    <row r="88" customFormat="false" ht="15" hidden="false" customHeight="false" outlineLevel="0" collapsed="false">
      <c r="A88" s="14" t="s">
        <v>156</v>
      </c>
      <c r="B88" s="15" t="n">
        <v>46042</v>
      </c>
      <c r="C88" s="14" t="s">
        <v>67</v>
      </c>
      <c r="D88" s="14" t="s">
        <v>94</v>
      </c>
      <c r="E88" s="14" t="s">
        <v>27</v>
      </c>
      <c r="F88" s="14" t="s">
        <v>50</v>
      </c>
      <c r="G88" s="14" t="s">
        <v>24</v>
      </c>
      <c r="H88" s="14" t="n">
        <v>5</v>
      </c>
      <c r="I88" s="16" t="n">
        <v>900000</v>
      </c>
      <c r="J88" s="14" t="n">
        <v>7</v>
      </c>
      <c r="K88" s="16" t="n">
        <f aca="false">H88*I88*(1-J88/100)</f>
        <v>4185000</v>
      </c>
    </row>
    <row r="89" customFormat="false" ht="15" hidden="false" customHeight="false" outlineLevel="0" collapsed="false">
      <c r="A89" s="14" t="s">
        <v>157</v>
      </c>
      <c r="B89" s="15" t="n">
        <v>46042</v>
      </c>
      <c r="C89" s="14" t="s">
        <v>60</v>
      </c>
      <c r="D89" s="14" t="s">
        <v>76</v>
      </c>
      <c r="E89" s="14" t="s">
        <v>22</v>
      </c>
      <c r="F89" s="14" t="s">
        <v>40</v>
      </c>
      <c r="G89" s="14" t="s">
        <v>41</v>
      </c>
      <c r="H89" s="14" t="n">
        <v>4</v>
      </c>
      <c r="I89" s="16" t="n">
        <v>1300000</v>
      </c>
      <c r="J89" s="14" t="n">
        <v>2</v>
      </c>
      <c r="K89" s="16" t="n">
        <f aca="false">H89*I89*(1-J89/100)</f>
        <v>5096000</v>
      </c>
    </row>
    <row r="90" customFormat="false" ht="15" hidden="false" customHeight="false" outlineLevel="0" collapsed="false">
      <c r="A90" s="14" t="s">
        <v>158</v>
      </c>
      <c r="B90" s="15" t="n">
        <v>46177</v>
      </c>
      <c r="C90" s="14" t="s">
        <v>43</v>
      </c>
      <c r="D90" s="14" t="s">
        <v>123</v>
      </c>
      <c r="E90" s="14" t="s">
        <v>33</v>
      </c>
      <c r="F90" s="14" t="s">
        <v>28</v>
      </c>
      <c r="G90" s="14" t="s">
        <v>58</v>
      </c>
      <c r="H90" s="14" t="n">
        <v>6</v>
      </c>
      <c r="I90" s="16" t="n">
        <v>1150000</v>
      </c>
      <c r="J90" s="14" t="n">
        <v>2</v>
      </c>
      <c r="K90" s="16" t="n">
        <f aca="false">H90*I90*(1-J90/100)</f>
        <v>6762000</v>
      </c>
    </row>
    <row r="91" customFormat="false" ht="15" hidden="false" customHeight="false" outlineLevel="0" collapsed="false">
      <c r="A91" s="14" t="s">
        <v>159</v>
      </c>
      <c r="B91" s="15" t="n">
        <v>46147</v>
      </c>
      <c r="C91" s="14" t="s">
        <v>60</v>
      </c>
      <c r="D91" s="14" t="s">
        <v>76</v>
      </c>
      <c r="E91" s="14" t="s">
        <v>49</v>
      </c>
      <c r="F91" s="14" t="s">
        <v>23</v>
      </c>
      <c r="G91" s="14" t="s">
        <v>58</v>
      </c>
      <c r="H91" s="14" t="n">
        <v>4</v>
      </c>
      <c r="I91" s="16" t="n">
        <v>1300000</v>
      </c>
      <c r="J91" s="14" t="n">
        <v>7</v>
      </c>
      <c r="K91" s="16" t="n">
        <f aca="false">H91*I91*(1-J91/100)</f>
        <v>4836000</v>
      </c>
    </row>
    <row r="92" customFormat="false" ht="15" hidden="false" customHeight="false" outlineLevel="0" collapsed="false">
      <c r="A92" s="14" t="s">
        <v>160</v>
      </c>
      <c r="B92" s="15" t="n">
        <v>46126</v>
      </c>
      <c r="C92" s="14" t="s">
        <v>31</v>
      </c>
      <c r="D92" s="14" t="s">
        <v>32</v>
      </c>
      <c r="E92" s="14" t="s">
        <v>33</v>
      </c>
      <c r="F92" s="14" t="s">
        <v>23</v>
      </c>
      <c r="G92" s="14" t="s">
        <v>41</v>
      </c>
      <c r="H92" s="14" t="n">
        <v>11</v>
      </c>
      <c r="I92" s="16" t="n">
        <v>1600000</v>
      </c>
      <c r="J92" s="14" t="n">
        <v>7</v>
      </c>
      <c r="K92" s="16" t="n">
        <f aca="false">H92*I92*(1-J92/100)</f>
        <v>16368000</v>
      </c>
    </row>
    <row r="93" customFormat="false" ht="15" hidden="false" customHeight="false" outlineLevel="0" collapsed="false">
      <c r="A93" s="14" t="s">
        <v>161</v>
      </c>
      <c r="B93" s="15" t="n">
        <v>46107</v>
      </c>
      <c r="C93" s="14" t="s">
        <v>20</v>
      </c>
      <c r="D93" s="14" t="s">
        <v>21</v>
      </c>
      <c r="E93" s="14" t="s">
        <v>22</v>
      </c>
      <c r="F93" s="14" t="s">
        <v>40</v>
      </c>
      <c r="G93" s="14" t="s">
        <v>41</v>
      </c>
      <c r="H93" s="14" t="n">
        <v>6</v>
      </c>
      <c r="I93" s="16" t="n">
        <v>700000</v>
      </c>
      <c r="J93" s="14" t="n">
        <v>0</v>
      </c>
      <c r="K93" s="16" t="n">
        <f aca="false">H93*I93*(1-J93/100)</f>
        <v>4200000</v>
      </c>
    </row>
    <row r="94" customFormat="false" ht="15" hidden="false" customHeight="false" outlineLevel="0" collapsed="false">
      <c r="A94" s="14" t="s">
        <v>162</v>
      </c>
      <c r="B94" s="15" t="n">
        <v>46205</v>
      </c>
      <c r="C94" s="14" t="s">
        <v>36</v>
      </c>
      <c r="D94" s="14" t="s">
        <v>79</v>
      </c>
      <c r="E94" s="14" t="s">
        <v>49</v>
      </c>
      <c r="F94" s="14" t="s">
        <v>50</v>
      </c>
      <c r="G94" s="14" t="s">
        <v>24</v>
      </c>
      <c r="H94" s="14" t="n">
        <v>15</v>
      </c>
      <c r="I94" s="16" t="n">
        <v>450000</v>
      </c>
      <c r="J94" s="14" t="n">
        <v>2</v>
      </c>
      <c r="K94" s="16" t="n">
        <f aca="false">H94*I94*(1-J94/100)</f>
        <v>6615000</v>
      </c>
    </row>
    <row r="95" customFormat="false" ht="15" hidden="false" customHeight="false" outlineLevel="0" collapsed="false">
      <c r="A95" s="14" t="s">
        <v>163</v>
      </c>
      <c r="B95" s="15" t="n">
        <v>46173</v>
      </c>
      <c r="C95" s="14" t="s">
        <v>36</v>
      </c>
      <c r="D95" s="14" t="s">
        <v>79</v>
      </c>
      <c r="E95" s="14" t="s">
        <v>49</v>
      </c>
      <c r="F95" s="14" t="s">
        <v>40</v>
      </c>
      <c r="G95" s="14" t="s">
        <v>24</v>
      </c>
      <c r="H95" s="14" t="n">
        <v>7</v>
      </c>
      <c r="I95" s="16" t="n">
        <v>450000</v>
      </c>
      <c r="J95" s="14" t="n">
        <v>7</v>
      </c>
      <c r="K95" s="16" t="n">
        <f aca="false">H95*I95*(1-J95/100)</f>
        <v>2929500</v>
      </c>
    </row>
    <row r="96" customFormat="false" ht="15" hidden="false" customHeight="false" outlineLevel="0" collapsed="false">
      <c r="A96" s="14" t="s">
        <v>164</v>
      </c>
      <c r="B96" s="15" t="n">
        <v>46036</v>
      </c>
      <c r="C96" s="14" t="s">
        <v>36</v>
      </c>
      <c r="D96" s="14" t="s">
        <v>79</v>
      </c>
      <c r="E96" s="14" t="s">
        <v>22</v>
      </c>
      <c r="F96" s="14" t="s">
        <v>40</v>
      </c>
      <c r="G96" s="14" t="s">
        <v>24</v>
      </c>
      <c r="H96" s="14" t="n">
        <v>5</v>
      </c>
      <c r="I96" s="16" t="n">
        <v>450000</v>
      </c>
      <c r="J96" s="14" t="n">
        <v>0</v>
      </c>
      <c r="K96" s="16" t="n">
        <f aca="false">H96*I96*(1-J96/100)</f>
        <v>2250000</v>
      </c>
    </row>
    <row r="97" customFormat="false" ht="15" hidden="false" customHeight="false" outlineLevel="0" collapsed="false">
      <c r="A97" s="14" t="s">
        <v>165</v>
      </c>
      <c r="B97" s="15" t="n">
        <v>46153</v>
      </c>
      <c r="C97" s="14" t="s">
        <v>60</v>
      </c>
      <c r="D97" s="14" t="s">
        <v>76</v>
      </c>
      <c r="E97" s="14" t="s">
        <v>49</v>
      </c>
      <c r="F97" s="14" t="s">
        <v>52</v>
      </c>
      <c r="G97" s="14" t="s">
        <v>29</v>
      </c>
      <c r="H97" s="14" t="n">
        <v>5</v>
      </c>
      <c r="I97" s="16" t="n">
        <v>1300000</v>
      </c>
      <c r="J97" s="14" t="n">
        <v>7</v>
      </c>
      <c r="K97" s="16" t="n">
        <f aca="false">H97*I97*(1-J97/100)</f>
        <v>6045000</v>
      </c>
    </row>
    <row r="98" customFormat="false" ht="15" hidden="false" customHeight="false" outlineLevel="0" collapsed="false">
      <c r="A98" s="14" t="s">
        <v>166</v>
      </c>
      <c r="B98" s="15" t="n">
        <v>46164</v>
      </c>
      <c r="C98" s="14" t="s">
        <v>20</v>
      </c>
      <c r="D98" s="14" t="s">
        <v>21</v>
      </c>
      <c r="E98" s="14" t="s">
        <v>49</v>
      </c>
      <c r="F98" s="14" t="s">
        <v>50</v>
      </c>
      <c r="G98" s="14" t="s">
        <v>24</v>
      </c>
      <c r="H98" s="14" t="n">
        <v>13</v>
      </c>
      <c r="I98" s="16" t="n">
        <v>700000</v>
      </c>
      <c r="J98" s="14" t="n">
        <v>7</v>
      </c>
      <c r="K98" s="16" t="n">
        <f aca="false">H98*I98*(1-J98/100)</f>
        <v>8463000</v>
      </c>
    </row>
    <row r="99" customFormat="false" ht="15" hidden="false" customHeight="false" outlineLevel="0" collapsed="false">
      <c r="A99" s="14" t="s">
        <v>167</v>
      </c>
      <c r="B99" s="15" t="n">
        <v>46215</v>
      </c>
      <c r="C99" s="14" t="s">
        <v>43</v>
      </c>
      <c r="D99" s="14" t="s">
        <v>100</v>
      </c>
      <c r="E99" s="14" t="s">
        <v>27</v>
      </c>
      <c r="F99" s="14" t="s">
        <v>23</v>
      </c>
      <c r="G99" s="14" t="s">
        <v>41</v>
      </c>
      <c r="H99" s="14" t="n">
        <v>8</v>
      </c>
      <c r="I99" s="16" t="n">
        <v>800000</v>
      </c>
      <c r="J99" s="14" t="n">
        <v>10</v>
      </c>
      <c r="K99" s="16" t="n">
        <f aca="false">H99*I99*(1-J99/100)</f>
        <v>5760000</v>
      </c>
    </row>
    <row r="100" customFormat="false" ht="15" hidden="false" customHeight="false" outlineLevel="0" collapsed="false">
      <c r="A100" s="14" t="s">
        <v>168</v>
      </c>
      <c r="B100" s="15" t="n">
        <v>46143</v>
      </c>
      <c r="C100" s="14" t="s">
        <v>67</v>
      </c>
      <c r="D100" s="14" t="s">
        <v>94</v>
      </c>
      <c r="E100" s="14" t="s">
        <v>22</v>
      </c>
      <c r="F100" s="14" t="s">
        <v>23</v>
      </c>
      <c r="G100" s="14" t="s">
        <v>34</v>
      </c>
      <c r="H100" s="14" t="n">
        <v>3</v>
      </c>
      <c r="I100" s="16" t="n">
        <v>900000</v>
      </c>
      <c r="J100" s="14" t="n">
        <v>2</v>
      </c>
      <c r="K100" s="16" t="n">
        <f aca="false">H100*I100*(1-J100/100)</f>
        <v>2646000</v>
      </c>
    </row>
    <row r="101" customFormat="false" ht="15" hidden="false" customHeight="false" outlineLevel="0" collapsed="false">
      <c r="A101" s="14" t="s">
        <v>169</v>
      </c>
      <c r="B101" s="15" t="n">
        <v>46126</v>
      </c>
      <c r="C101" s="14" t="s">
        <v>31</v>
      </c>
      <c r="D101" s="14" t="s">
        <v>54</v>
      </c>
      <c r="E101" s="14" t="s">
        <v>49</v>
      </c>
      <c r="F101" s="14" t="s">
        <v>40</v>
      </c>
      <c r="G101" s="14" t="s">
        <v>58</v>
      </c>
      <c r="H101" s="14" t="n">
        <v>12</v>
      </c>
      <c r="I101" s="16" t="n">
        <v>1300000</v>
      </c>
      <c r="J101" s="14" t="n">
        <v>5</v>
      </c>
      <c r="K101" s="16" t="n">
        <f aca="false">H101*I101*(1-J101/100)</f>
        <v>14820000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2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2"/>
    <col collapsed="false" customWidth="true" hidden="false" outlineLevel="0" max="13" min="13" style="0" width="11"/>
    <col collapsed="false" customWidth="true" hidden="false" outlineLevel="0" max="14" min="14" style="0" width="14"/>
  </cols>
  <sheetData>
    <row r="2" customFormat="false" ht="16.15" hidden="false" customHeight="false" outlineLevel="0" collapsed="false">
      <c r="B2" s="17" t="s">
        <v>170</v>
      </c>
      <c r="F2" s="17" t="s">
        <v>171</v>
      </c>
      <c r="J2" s="17" t="s">
        <v>172</v>
      </c>
      <c r="M2" s="17" t="s">
        <v>173</v>
      </c>
    </row>
    <row r="4" customFormat="false" ht="15" hidden="false" customHeight="false" outlineLevel="0" collapsed="false">
      <c r="B4" s="18" t="s">
        <v>174</v>
      </c>
      <c r="C4" s="18" t="s">
        <v>18</v>
      </c>
      <c r="F4" s="18" t="s">
        <v>10</v>
      </c>
      <c r="G4" s="18" t="s">
        <v>15</v>
      </c>
      <c r="H4" s="18" t="s">
        <v>18</v>
      </c>
      <c r="J4" s="18" t="s">
        <v>13</v>
      </c>
      <c r="K4" s="18" t="s">
        <v>18</v>
      </c>
      <c r="M4" s="18" t="s">
        <v>12</v>
      </c>
      <c r="N4" s="18" t="s">
        <v>18</v>
      </c>
    </row>
    <row r="5" customFormat="false" ht="15" hidden="false" customHeight="false" outlineLevel="0" collapsed="false">
      <c r="B5" s="14" t="s">
        <v>175</v>
      </c>
      <c r="C5" s="16" t="n">
        <f aca="false">SUMPRODUCT(('Sales Data'!$B$2:$B$101&gt;=DATE(2026,1,1))*('Sales Data'!$B$2:$B$101&lt;DATE(2026,2,1))*'Sales Data'!$K$2:$K$101)</f>
        <v>102806500</v>
      </c>
      <c r="F5" s="14" t="s">
        <v>60</v>
      </c>
      <c r="G5" s="14" t="n">
        <f aca="false">SUMIFS('Sales Data'!$H$2:$H$101,'Sales Data'!$C$2:$C$101,F5)</f>
        <v>75</v>
      </c>
      <c r="H5" s="16" t="n">
        <f aca="false">SUMIFS('Sales Data'!$K$2:$K$101,'Sales Data'!$C$2:$C$101,F5)</f>
        <v>83740000</v>
      </c>
      <c r="J5" s="14" t="s">
        <v>28</v>
      </c>
      <c r="K5" s="16" t="n">
        <f aca="false">SUMIFS('Sales Data'!$K$2:$K$101,'Sales Data'!$F$2:$F$101,J5)</f>
        <v>172706500</v>
      </c>
      <c r="M5" s="14" t="s">
        <v>49</v>
      </c>
      <c r="N5" s="16" t="n">
        <f aca="false">SUMIFS('Sales Data'!$K$2:$K$101,'Sales Data'!$E$2:$E$101,M5)</f>
        <v>196160500</v>
      </c>
    </row>
    <row r="6" customFormat="false" ht="15" hidden="false" customHeight="false" outlineLevel="0" collapsed="false">
      <c r="B6" s="14" t="s">
        <v>176</v>
      </c>
      <c r="C6" s="16" t="n">
        <f aca="false">SUMPRODUCT(('Sales Data'!$B$2:$B$101&gt;=DATE(2026,2,1))*('Sales Data'!$B$2:$B$101&lt;DATE(2026,3,1))*'Sales Data'!$K$2:$K$101)</f>
        <v>110533000</v>
      </c>
      <c r="F6" s="14" t="s">
        <v>67</v>
      </c>
      <c r="G6" s="14" t="n">
        <f aca="false">SUMIFS('Sales Data'!$H$2:$H$101,'Sales Data'!$C$2:$C$101,F6)</f>
        <v>111</v>
      </c>
      <c r="H6" s="16" t="n">
        <f aca="false">SUMIFS('Sales Data'!$K$2:$K$101,'Sales Data'!$C$2:$C$101,F6)</f>
        <v>99704000</v>
      </c>
      <c r="J6" s="14" t="s">
        <v>40</v>
      </c>
      <c r="K6" s="16" t="n">
        <f aca="false">SUMIFS('Sales Data'!$K$2:$K$101,'Sales Data'!$F$2:$F$101,J6)</f>
        <v>126975500</v>
      </c>
      <c r="M6" s="14" t="s">
        <v>33</v>
      </c>
      <c r="N6" s="16" t="n">
        <f aca="false">SUMIFS('Sales Data'!$K$2:$K$101,'Sales Data'!$E$2:$E$101,M6)</f>
        <v>223107000</v>
      </c>
    </row>
    <row r="7" customFormat="false" ht="15" hidden="false" customHeight="false" outlineLevel="0" collapsed="false">
      <c r="B7" s="14" t="s">
        <v>177</v>
      </c>
      <c r="C7" s="16" t="n">
        <f aca="false">SUMPRODUCT(('Sales Data'!$B$2:$B$101&gt;=DATE(2026,3,1))*('Sales Data'!$B$2:$B$101&lt;DATE(2026,4,1))*'Sales Data'!$K$2:$K$101)</f>
        <v>105024000</v>
      </c>
      <c r="F7" s="14" t="s">
        <v>43</v>
      </c>
      <c r="G7" s="14" t="n">
        <f aca="false">SUMIFS('Sales Data'!$H$2:$H$101,'Sales Data'!$C$2:$C$101,F7)</f>
        <v>108</v>
      </c>
      <c r="H7" s="16" t="n">
        <f aca="false">SUMIFS('Sales Data'!$K$2:$K$101,'Sales Data'!$C$2:$C$101,F7)</f>
        <v>101018500</v>
      </c>
      <c r="J7" s="14" t="s">
        <v>23</v>
      </c>
      <c r="K7" s="16" t="n">
        <f aca="false">SUMIFS('Sales Data'!$K$2:$K$101,'Sales Data'!$F$2:$F$101,J7)</f>
        <v>154454500</v>
      </c>
      <c r="M7" s="14" t="s">
        <v>22</v>
      </c>
      <c r="N7" s="16" t="n">
        <f aca="false">SUMIFS('Sales Data'!$K$2:$K$101,'Sales Data'!$E$2:$E$101,M7)</f>
        <v>143313000</v>
      </c>
    </row>
    <row r="8" customFormat="false" ht="15" hidden="false" customHeight="false" outlineLevel="0" collapsed="false">
      <c r="B8" s="14" t="s">
        <v>178</v>
      </c>
      <c r="C8" s="16" t="n">
        <f aca="false">SUMPRODUCT(('Sales Data'!$B$2:$B$101&gt;=DATE(2026,4,1))*('Sales Data'!$B$2:$B$101&lt;DATE(2026,5,1))*'Sales Data'!$K$2:$K$101)</f>
        <v>157046000</v>
      </c>
      <c r="F8" s="14" t="s">
        <v>31</v>
      </c>
      <c r="G8" s="14" t="n">
        <f aca="false">SUMIFS('Sales Data'!$H$2:$H$101,'Sales Data'!$C$2:$C$101,F8)</f>
        <v>110</v>
      </c>
      <c r="H8" s="16" t="n">
        <f aca="false">SUMIFS('Sales Data'!$K$2:$K$101,'Sales Data'!$C$2:$C$101,F8)</f>
        <v>136538500</v>
      </c>
      <c r="J8" s="14" t="s">
        <v>52</v>
      </c>
      <c r="K8" s="16" t="n">
        <f aca="false">SUMIFS('Sales Data'!$K$2:$K$101,'Sales Data'!$F$2:$F$101,J8)</f>
        <v>119157000</v>
      </c>
      <c r="M8" s="14" t="s">
        <v>27</v>
      </c>
      <c r="N8" s="16" t="n">
        <f aca="false">SUMIFS('Sales Data'!$K$2:$K$101,'Sales Data'!$E$2:$E$101,M8)</f>
        <v>165371500</v>
      </c>
    </row>
    <row r="9" customFormat="false" ht="15" hidden="false" customHeight="false" outlineLevel="0" collapsed="false">
      <c r="B9" s="14" t="s">
        <v>179</v>
      </c>
      <c r="C9" s="16" t="n">
        <f aca="false">SUMPRODUCT(('Sales Data'!$B$2:$B$101&gt;=DATE(2026,5,1))*('Sales Data'!$B$2:$B$101&lt;DATE(2026,6,1))*'Sales Data'!$K$2:$K$101)</f>
        <v>137527500</v>
      </c>
      <c r="F9" s="14" t="s">
        <v>36</v>
      </c>
      <c r="G9" s="14" t="n">
        <f aca="false">SUMIFS('Sales Data'!$H$2:$H$101,'Sales Data'!$C$2:$C$101,F9)</f>
        <v>157</v>
      </c>
      <c r="H9" s="16" t="n">
        <f aca="false">SUMIFS('Sales Data'!$K$2:$K$101,'Sales Data'!$C$2:$C$101,F9)</f>
        <v>101079000</v>
      </c>
      <c r="J9" s="14" t="s">
        <v>50</v>
      </c>
      <c r="K9" s="16" t="n">
        <f aca="false">SUMIFS('Sales Data'!$K$2:$K$101,'Sales Data'!$F$2:$F$101,J9)</f>
        <v>154658500</v>
      </c>
    </row>
    <row r="10" customFormat="false" ht="15" hidden="false" customHeight="false" outlineLevel="0" collapsed="false">
      <c r="B10" s="14" t="s">
        <v>180</v>
      </c>
      <c r="C10" s="16" t="n">
        <f aca="false">SUMPRODUCT(('Sales Data'!$B$2:$B$101&gt;=DATE(2026,6,1))*('Sales Data'!$B$2:$B$101&lt;DATE(2026,7,1))*'Sales Data'!$K$2:$K$101)</f>
        <v>19984000</v>
      </c>
      <c r="F10" s="14" t="s">
        <v>20</v>
      </c>
      <c r="G10" s="14" t="n">
        <f aca="false">SUMIFS('Sales Data'!$H$2:$H$101,'Sales Data'!$C$2:$C$101,F10)</f>
        <v>95</v>
      </c>
      <c r="H10" s="16" t="n">
        <f aca="false">SUMIFS('Sales Data'!$K$2:$K$101,'Sales Data'!$C$2:$C$101,F10)</f>
        <v>79939000</v>
      </c>
    </row>
    <row r="11" customFormat="false" ht="15" hidden="false" customHeight="false" outlineLevel="0" collapsed="false">
      <c r="B11" s="14" t="s">
        <v>181</v>
      </c>
      <c r="C11" s="16" t="n">
        <f aca="false">SUMPRODUCT(('Sales Data'!$B$2:$B$101&gt;=DATE(2026,7,1))*('Sales Data'!$B$2:$B$101&lt;DATE(2026,8,1))*'Sales Data'!$K$2:$K$101)</f>
        <v>95031000</v>
      </c>
      <c r="F11" s="14" t="s">
        <v>47</v>
      </c>
      <c r="G11" s="14" t="n">
        <f aca="false">SUMIFS('Sales Data'!$H$2:$H$101,'Sales Data'!$C$2:$C$101,F11)</f>
        <v>107</v>
      </c>
      <c r="H11" s="16" t="n">
        <f aca="false">SUMIFS('Sales Data'!$K$2:$K$101,'Sales Data'!$C$2:$C$101,F11)</f>
        <v>125933000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2026-08-06T12:49:55Z</dcterms:created>
  <dc:creator>openpyxl</dc:creator>
  <dc:description/>
  <dc:language>en-US</dc:language>
  <cp:lastModifiedBy/>
  <dcterms:modified xsi:type="dcterms:W3CDTF">2026-08-06T12:50:04Z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